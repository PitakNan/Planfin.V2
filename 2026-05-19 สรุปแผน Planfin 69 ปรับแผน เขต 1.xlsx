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bd148659271ddf/Share Rh1-New/10. แผนการเงิน Planfin/Planfin 69/ปรับแผนครึ่งปีหลัง/"/>
    </mc:Choice>
  </mc:AlternateContent>
  <xr:revisionPtr revIDLastSave="0" documentId="13_ncr:1_{DAE0B52C-704C-45FB-89BF-D2382C26AD9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nfin" sheetId="8" r:id="rId1"/>
    <sheet name="สรุป" sheetId="5" r:id="rId2"/>
    <sheet name="Analysis" sheetId="10" r:id="rId3"/>
  </sheets>
  <definedNames>
    <definedName name="_xlnm._FilterDatabase" localSheetId="0" hidden="1">Planfin!$A$2:$X$105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5" l="1"/>
  <c r="K29" i="8"/>
  <c r="K30" i="8"/>
  <c r="K31" i="8"/>
  <c r="K32" i="8"/>
  <c r="K33" i="8"/>
  <c r="K34" i="8"/>
  <c r="K35" i="8"/>
  <c r="K28" i="8"/>
  <c r="L29" i="8"/>
  <c r="L30" i="8"/>
  <c r="L31" i="8"/>
  <c r="L32" i="8"/>
  <c r="L33" i="8"/>
  <c r="L34" i="8"/>
  <c r="L35" i="8"/>
  <c r="L28" i="8"/>
  <c r="I14" i="5" l="1"/>
  <c r="C14" i="5" l="1"/>
  <c r="N14" i="5" l="1"/>
  <c r="L14" i="5"/>
  <c r="K14" i="5"/>
  <c r="J14" i="5"/>
  <c r="H14" i="5"/>
  <c r="G14" i="5"/>
  <c r="F14" i="5"/>
  <c r="E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air</author>
  </authors>
  <commentList>
    <comment ref="G25" authorId="0" shapeId="0" xr:uid="{F632C839-310C-4FAC-B041-FD6B163907FB}">
      <text>
        <r>
          <rPr>
            <b/>
            <sz val="9"/>
            <color indexed="81"/>
            <rFont val="Tahoma"/>
            <family val="2"/>
          </rPr>
          <t>air:</t>
        </r>
        <r>
          <rPr>
            <sz val="9"/>
            <color indexed="81"/>
            <rFont val="Tahoma"/>
            <family val="2"/>
          </rPr>
          <t xml:space="preserve">
จากการลงทุน
รับ 66 ทำ 67</t>
        </r>
      </text>
    </comment>
  </commentList>
</comments>
</file>

<file path=xl/sharedStrings.xml><?xml version="1.0" encoding="utf-8"?>
<sst xmlns="http://schemas.openxmlformats.org/spreadsheetml/2006/main" count="1032" uniqueCount="304">
  <si>
    <t>ลำดับ</t>
  </si>
  <si>
    <t>จังหวัด</t>
  </si>
  <si>
    <t>รหัส</t>
  </si>
  <si>
    <t>โรงพยาบาล</t>
  </si>
  <si>
    <t>เชียงใหม่</t>
  </si>
  <si>
    <t>10713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</si>
  <si>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</si>
  <si>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</si>
  <si>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</si>
  <si>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</si>
  <si>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</si>
  <si>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</si>
  <si>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</si>
  <si>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</si>
  <si>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</si>
  <si>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</si>
  <si>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</si>
  <si>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</si>
  <si>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</si>
  <si>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</si>
  <si>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</si>
  <si>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</si>
  <si>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</si>
  <si>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</si>
  <si>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</si>
  <si>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</si>
  <si>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</si>
  <si>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11643</t>
  </si>
  <si>
    <t>23736</t>
  </si>
  <si>
    <t>ลำพูน</t>
  </si>
  <si>
    <t>ลำปาง</t>
  </si>
  <si>
    <t>แพร่</t>
  </si>
  <si>
    <t>น่าน</t>
  </si>
  <si>
    <t>พะเยา</t>
  </si>
  <si>
    <t>เชียงราย</t>
  </si>
  <si>
    <t>แม่ฮ่องสอน</t>
  </si>
  <si>
    <t>รพ.ศรีสังวาลย์</t>
  </si>
  <si>
    <t>สรุปแผนประมาณการ</t>
  </si>
  <si>
    <t>วงเงินที่ลงทุนได้(ร้อยละ 20%ของ EBITDA)</t>
  </si>
  <si>
    <t>สัดส่วนการลงทุน  ต่อ EBITDA</t>
  </si>
  <si>
    <t>วงเงินงบลงทุน (เงินบำรุง)  เปรียบเทียบกับ EBITDA &gt;20%</t>
  </si>
  <si>
    <t>การวิเคราะห์การลงทุน (เงินบำรุง)  เปรียบเทียบกับ EBITDA &gt;20%</t>
  </si>
  <si>
    <t>รายจ่ายเฉลี่ยต่อเดือน</t>
  </si>
  <si>
    <t>อัตราส่วนทุนสำรองสุทธิ (NWC) ต่อ รายจ่ายเฉลี่ยต่อเดือน</t>
  </si>
  <si>
    <t>ทุนสำรองสุทธิ (NWC) คงเหลือหลังหักการลงทุน &gt;20% EBITDA</t>
  </si>
  <si>
    <t>อัตราทุนสำรองสุทธิ (NWC) คงเหลือ หลังหักเงินลงทุน &gt;20% EBITDAต่อรายจ่ายเฉลี่ยต่อเดือน</t>
  </si>
  <si>
    <t>Risk จาก EBITDA</t>
  </si>
  <si>
    <t>Risk จาก Investment &gt;20% EBITDA</t>
  </si>
  <si>
    <t>Risk จาก อัตราส่วนทุนสำรองสุทธิ (NWC) ต่อ รายจ่ายเฉลี่ยต่อเดือน</t>
  </si>
  <si>
    <t>PlanFin แบบ</t>
  </si>
  <si>
    <t xml:space="preserve"> การปรับ PlanFin</t>
  </si>
  <si>
    <t>ขาดดุล</t>
  </si>
  <si>
    <t>Risk</t>
  </si>
  <si>
    <t>Normal</t>
  </si>
  <si>
    <t>ปรับ EBITDA ให้เป็น +</t>
  </si>
  <si>
    <t>เกินดุล</t>
  </si>
  <si>
    <t xml:space="preserve">ทบทวนการลงทุนอีกครั้ง </t>
  </si>
  <si>
    <t>ทบทวนการลงทุนอีกครั้ง ทำFeasibility study</t>
  </si>
  <si>
    <t>สมดุล</t>
  </si>
  <si>
    <t>[1]</t>
  </si>
  <si>
    <t>[2]</t>
  </si>
  <si>
    <t>[3]</t>
  </si>
  <si>
    <t>[4]</t>
  </si>
  <si>
    <t>[5] = [3] x 20%</t>
  </si>
  <si>
    <t>[6]</t>
  </si>
  <si>
    <t>[7]=[6]/[3] x 100</t>
  </si>
  <si>
    <t>[8] = [5] - [6]</t>
  </si>
  <si>
    <t>[9]</t>
  </si>
  <si>
    <t>[10]</t>
  </si>
  <si>
    <t>[11]=[2]/12</t>
  </si>
  <si>
    <t>[12] =[9]/[11]</t>
  </si>
  <si>
    <t>[13] =[9] - [8]</t>
  </si>
  <si>
    <t>[14]=[13]/[11]</t>
  </si>
  <si>
    <t>[15] = [3] ค่าบวก Normal, ค่าลบ Risk</t>
  </si>
  <si>
    <t>[16] =[8] ค่าบวก Normal, ค่าลบ Risk</t>
  </si>
  <si>
    <t>[17] = [14] &gt;1 "Normal" &lt;1"Risk)</t>
  </si>
  <si>
    <t>ปรับลดการลงทุนให้ &lt; 20% EBITDA เพื่อเงินเหลือจาก EBITDA – ลงทุนจะไปเพิ่ม NWC  ทำ Feasibility study</t>
  </si>
  <si>
    <t xml:space="preserve">ปรับ EBITDA ให้เป็น + และทบทวนการลงทุนอีกครั้งเพื่อเงินเหลือจาก EBITDA – ลงทุนจะไปเพิ่ม NWC </t>
  </si>
  <si>
    <t>ปรับ EBITDA ให้เป็น + และ ทบทวนการลงทุนอีกครั้งควร ลงทุนให้ &lt; 20% EBITDAทำ Feasibility study</t>
  </si>
  <si>
    <t>การลงทุน (เงินบำรุง)  เปรียบเทียบกับ EBITDA &gt;20% (จำนวนโรงพยาบาล)</t>
  </si>
  <si>
    <t>Planfin type (จำนวนโรงพยาบาล)</t>
  </si>
  <si>
    <t>สรุปแผนประมาณการ (จำนวนโรงพยาบาล)</t>
  </si>
  <si>
    <t>(รายชื่อโรงพยาบาลที่ลงทุน &gt; 20% EBIDA)</t>
  </si>
  <si>
    <t>รวม</t>
  </si>
  <si>
    <t>รวมรายได้ (ไม่รวมรายได้อื่น(ระบบบัญชีอัตโนมัติ) และรายได้งบลงทุน)</t>
  </si>
  <si>
    <t>รวมค่าใช้จ่าย (ไม่รวมค่าเสื่อมราคาและค่าตัดจำหน่ายและค่าใช้จ่ายอื่น (ระบบบัญชีบันทึกอัตโนมัติ)</t>
  </si>
  <si>
    <t xml:space="preserve"> EBITDA (รวมรายได้ (ไม่รวมรายได้งบลงทุน) - รวมค่าใช้จ่าย (ไม่รวมค่าเสื่อมราคาและค่าตัดจำหน่าย)</t>
  </si>
  <si>
    <t xml:space="preserve">ทุนสำรองสุทธิ (Networking Capital) ณ 30 กันยายน </t>
  </si>
  <si>
    <t xml:space="preserve">เงินบำรุงคงเหลือ (หักหนี้สินและภาระผูกพัน) ณ 30 กันยายน </t>
  </si>
  <si>
    <t>ความเสี่ยงด้านกระแสเงินสด</t>
  </si>
  <si>
    <t>ความเสี่ยงด้านการลงทุน</t>
  </si>
  <si>
    <t>ความเสี่ยงด้านเงินทุนหมุนเวียน</t>
  </si>
  <si>
    <t>PlanFin</t>
  </si>
  <si>
    <t>EBITDA</t>
  </si>
  <si>
    <t xml:space="preserve">% Investment </t>
  </si>
  <si>
    <t>สัดส่วน NWC เหลือหลัง Investment ต่อ รายจ่าย:เดือน</t>
  </si>
  <si>
    <t>แบบ</t>
  </si>
  <si>
    <t xml:space="preserve">  บวก=Normal </t>
  </si>
  <si>
    <t>ต่อ EBITDA</t>
  </si>
  <si>
    <t>&lt; 1 = Risk</t>
  </si>
  <si>
    <t xml:space="preserve">  ลบ = Risk </t>
  </si>
  <si>
    <t xml:space="preserve">&gt;20%  Risk </t>
  </si>
  <si>
    <t xml:space="preserve">  Normal </t>
  </si>
  <si>
    <t xml:space="preserve"> Normal</t>
  </si>
  <si>
    <t>ไม่ต้องปรับ</t>
  </si>
  <si>
    <t>Low Risk</t>
  </si>
  <si>
    <t>Medium Risk</t>
  </si>
  <si>
    <t xml:space="preserve"> Risk</t>
  </si>
  <si>
    <t xml:space="preserve">ปรับ EBITDA ให้เป็น + และ ชะลอการลงทุน </t>
  </si>
  <si>
    <t>High Risk</t>
  </si>
  <si>
    <t xml:space="preserve">หมายเหตุ (รวมวงเงินลงทุนส่วนเพิ่ม)                             </t>
  </si>
  <si>
    <t>* โรงพยาบาลที่ทำแผนแบบ 8 คือ ไม่มี</t>
  </si>
  <si>
    <t>นครพิงค์,รพศ.</t>
  </si>
  <si>
    <t>จอมทอง,รพท.</t>
  </si>
  <si>
    <t>เทพรัตนเวชชานุกูลฯ,รพช.</t>
  </si>
  <si>
    <t>เชียงดาว,รพช.</t>
  </si>
  <si>
    <t>ดอยสะเก็ด,รพช.</t>
  </si>
  <si>
    <t>แม่แตง,รพช.</t>
  </si>
  <si>
    <t>สะเมิง,รพช.</t>
  </si>
  <si>
    <t>ฝาง,รพท.</t>
  </si>
  <si>
    <t>แม่อาย,รพช.</t>
  </si>
  <si>
    <t>พร้าว,รพช.</t>
  </si>
  <si>
    <t>สันกำแพง,รพช.</t>
  </si>
  <si>
    <t>หางดง,รพช.</t>
  </si>
  <si>
    <t>ฮอด,รพช.</t>
  </si>
  <si>
    <t>ดอยเต่า,รพช.</t>
  </si>
  <si>
    <t>อมก๋อย,รพช.</t>
  </si>
  <si>
    <t>สารภี,รพช.</t>
  </si>
  <si>
    <t>เวียงแหง,รพช.</t>
  </si>
  <si>
    <t>ไชยปราการ,รพช.</t>
  </si>
  <si>
    <t>แม่วาง,รพช.</t>
  </si>
  <si>
    <t>แม่ออน,รพช.</t>
  </si>
  <si>
    <t>ดอยหล่อ,รพช.</t>
  </si>
  <si>
    <t>วัดจันทร์ฯ,รพช.</t>
  </si>
  <si>
    <t>06009</t>
  </si>
  <si>
    <t xml:space="preserve"> ลำพูน,รพท.</t>
  </si>
  <si>
    <t>แม่ทา,รพช.</t>
  </si>
  <si>
    <t>บ้านโฮ่ง,รพช.</t>
  </si>
  <si>
    <t>ลี้,รพช.</t>
  </si>
  <si>
    <t>ทุ่งหัวช้าง,รพช.</t>
  </si>
  <si>
    <t>ป่าซาง,รพช</t>
  </si>
  <si>
    <t>บ้านธิ,รพช.</t>
  </si>
  <si>
    <t>เวียงหนองล่อง,รพช.</t>
  </si>
  <si>
    <t>10672</t>
  </si>
  <si>
    <t>รพ.ลำปาง</t>
  </si>
  <si>
    <t>11146</t>
  </si>
  <si>
    <t>รพ.แม่เมาะ</t>
  </si>
  <si>
    <t>11147</t>
  </si>
  <si>
    <t>รพ.เกาะคา</t>
  </si>
  <si>
    <t>11148</t>
  </si>
  <si>
    <t>รพ.เสริมงาม</t>
  </si>
  <si>
    <t>11149</t>
  </si>
  <si>
    <t>รพ.งาว</t>
  </si>
  <si>
    <t>11150</t>
  </si>
  <si>
    <t>รพ.แจ้ห่ม</t>
  </si>
  <si>
    <t>11151</t>
  </si>
  <si>
    <t>รพ.วังเหนือ</t>
  </si>
  <si>
    <t>11152</t>
  </si>
  <si>
    <t>รพ.เถิน</t>
  </si>
  <si>
    <t>11153</t>
  </si>
  <si>
    <t>รพ.แม่พริก</t>
  </si>
  <si>
    <t>11154</t>
  </si>
  <si>
    <t>รพ.แม่ทะ</t>
  </si>
  <si>
    <t>11155</t>
  </si>
  <si>
    <t>รพ.สบปราบ</t>
  </si>
  <si>
    <t>11156</t>
  </si>
  <si>
    <t>รพ.ห้างฉัตร</t>
  </si>
  <si>
    <t>11157</t>
  </si>
  <si>
    <t>รพ.เมืองปาน</t>
  </si>
  <si>
    <t>10715</t>
  </si>
  <si>
    <t>รพ.แพร่</t>
  </si>
  <si>
    <t>11166</t>
  </si>
  <si>
    <t>รพ.ร้องกวาง</t>
  </si>
  <si>
    <t>11167</t>
  </si>
  <si>
    <t>รพ.ลอง</t>
  </si>
  <si>
    <t>11169</t>
  </si>
  <si>
    <t>รพ.สูงเม่น</t>
  </si>
  <si>
    <t>11170</t>
  </si>
  <si>
    <t>รพ.สอง</t>
  </si>
  <si>
    <t>11171</t>
  </si>
  <si>
    <t>รพ.วังชิ้น</t>
  </si>
  <si>
    <t>11172</t>
  </si>
  <si>
    <t>รพ.หนองม่วงไข่</t>
  </si>
  <si>
    <t>11452</t>
  </si>
  <si>
    <t>รพร.เด่นชัย</t>
  </si>
  <si>
    <t>10716</t>
  </si>
  <si>
    <t>รพ.น่าน</t>
  </si>
  <si>
    <t>11173</t>
  </si>
  <si>
    <t>รพ.แม่จริม</t>
  </si>
  <si>
    <t>11174</t>
  </si>
  <si>
    <t>รพ.บ้านหลวง</t>
  </si>
  <si>
    <t>11175</t>
  </si>
  <si>
    <t>รพ.นาน้อย</t>
  </si>
  <si>
    <t>11176</t>
  </si>
  <si>
    <t>รพ.ท่าวังผา</t>
  </si>
  <si>
    <t>11177</t>
  </si>
  <si>
    <t>รพ.เวียงสา</t>
  </si>
  <si>
    <t>11178</t>
  </si>
  <si>
    <t>รพ.ทุ่งช้าง</t>
  </si>
  <si>
    <t>11179</t>
  </si>
  <si>
    <t>รพ.เชียงกลาง</t>
  </si>
  <si>
    <t>11180</t>
  </si>
  <si>
    <t>รพ.นาหมื่น</t>
  </si>
  <si>
    <t>11181</t>
  </si>
  <si>
    <t>รพ.สันติสุข</t>
  </si>
  <si>
    <t>11182</t>
  </si>
  <si>
    <t>รพ.บ่อเกลือ</t>
  </si>
  <si>
    <t>11183</t>
  </si>
  <si>
    <t>รพ.สองแคว</t>
  </si>
  <si>
    <t>11453</t>
  </si>
  <si>
    <t>รพร.ปัว</t>
  </si>
  <si>
    <t>11625</t>
  </si>
  <si>
    <t>รพ.เฉลิมพระเกียรติ</t>
  </si>
  <si>
    <t>25017</t>
  </si>
  <si>
    <t>รพ.ภูเพียง</t>
  </si>
  <si>
    <t>10717</t>
  </si>
  <si>
    <t>รพ.พะเยา</t>
  </si>
  <si>
    <t>10718</t>
  </si>
  <si>
    <t>รพ.เชียงคำ</t>
  </si>
  <si>
    <t>11184</t>
  </si>
  <si>
    <t>รพ.จุน</t>
  </si>
  <si>
    <t>11185</t>
  </si>
  <si>
    <t>รพ.เชียงม่วน</t>
  </si>
  <si>
    <t>11186</t>
  </si>
  <si>
    <t>รพ.ดอกคำใต้</t>
  </si>
  <si>
    <t>11187</t>
  </si>
  <si>
    <t>รพ.ปง</t>
  </si>
  <si>
    <t>11188</t>
  </si>
  <si>
    <t>รพ.แม่ใจ</t>
  </si>
  <si>
    <t>รพ.ภูซาง</t>
  </si>
  <si>
    <t>รพ.ภูกามยาว</t>
  </si>
  <si>
    <t>10674</t>
  </si>
  <si>
    <t>รพ.เชียงรายประชานุเคราะห์</t>
  </si>
  <si>
    <t>11189</t>
  </si>
  <si>
    <t>รพ.เทิง</t>
  </si>
  <si>
    <t>11190</t>
  </si>
  <si>
    <t>รพ.พาน</t>
  </si>
  <si>
    <t>11191</t>
  </si>
  <si>
    <t>รพ.ป่าแดด</t>
  </si>
  <si>
    <t>11192</t>
  </si>
  <si>
    <t>รพ.แม่จัน</t>
  </si>
  <si>
    <t>11193</t>
  </si>
  <si>
    <t>รพ.เชียงแสน</t>
  </si>
  <si>
    <t>11194</t>
  </si>
  <si>
    <t>รพ.แม่สาย</t>
  </si>
  <si>
    <t>11195</t>
  </si>
  <si>
    <t>รพ.แม่สรวย</t>
  </si>
  <si>
    <t>11196</t>
  </si>
  <si>
    <t>รพ.เวียงป่าเป้า</t>
  </si>
  <si>
    <t>11197</t>
  </si>
  <si>
    <t>รพ.พญาเม็งราย</t>
  </si>
  <si>
    <t>11198</t>
  </si>
  <si>
    <t>รพ.เวียงแก่น</t>
  </si>
  <si>
    <t>11199</t>
  </si>
  <si>
    <t>รพ.ขุนตาล</t>
  </si>
  <si>
    <t>11200</t>
  </si>
  <si>
    <t>รพ.แม่ฟ้าหลวง</t>
  </si>
  <si>
    <t>11201</t>
  </si>
  <si>
    <t>รพ.แม่ลาว</t>
  </si>
  <si>
    <t>11202</t>
  </si>
  <si>
    <t>รพ.เวียงเชียงรุ้ง</t>
  </si>
  <si>
    <t>11454</t>
  </si>
  <si>
    <t>รพร.เชียงของ</t>
  </si>
  <si>
    <t>15012</t>
  </si>
  <si>
    <t>รพ.สมเด็จพระญาณสังวร</t>
  </si>
  <si>
    <t>28823</t>
  </si>
  <si>
    <t>รพ.ดอยหลวง</t>
  </si>
  <si>
    <t>10719</t>
  </si>
  <si>
    <t>11203</t>
  </si>
  <si>
    <t>รพ.ขุนยวม</t>
  </si>
  <si>
    <t>11204</t>
  </si>
  <si>
    <t>รพ.ปาย</t>
  </si>
  <si>
    <t>11205</t>
  </si>
  <si>
    <t>รพ.แม่สะเรียง</t>
  </si>
  <si>
    <t>11206</t>
  </si>
  <si>
    <t>รพ.แม่ลาน้อย</t>
  </si>
  <si>
    <t>11207</t>
  </si>
  <si>
    <t>รพ.สบเมย</t>
  </si>
  <si>
    <t>11208</t>
  </si>
  <si>
    <t>รพ.ปางมะผ้า</t>
  </si>
  <si>
    <r>
      <t>&lt;</t>
    </r>
    <r>
      <rPr>
        <b/>
        <sz val="12"/>
        <color rgb="FFFFFFFF"/>
        <rFont val="Tahoma"/>
        <family val="2"/>
      </rPr>
      <t>20%  Normal</t>
    </r>
  </si>
  <si>
    <r>
      <t>&gt;</t>
    </r>
    <r>
      <rPr>
        <b/>
        <sz val="12"/>
        <color rgb="FFFFFFFF"/>
        <rFont val="Tahoma"/>
        <family val="2"/>
      </rPr>
      <t xml:space="preserve"> 1 = Normal</t>
    </r>
  </si>
  <si>
    <r>
      <t xml:space="preserve"> </t>
    </r>
    <r>
      <rPr>
        <sz val="12"/>
        <color rgb="FFFF0000"/>
        <rFont val="Tahoma"/>
        <family val="2"/>
      </rPr>
      <t>Risk</t>
    </r>
  </si>
  <si>
    <r>
      <t xml:space="preserve"> </t>
    </r>
    <r>
      <rPr>
        <sz val="12"/>
        <color rgb="FF000000"/>
        <rFont val="Tahoma"/>
        <family val="2"/>
      </rPr>
      <t>Normal</t>
    </r>
  </si>
  <si>
    <t xml:space="preserve">                                                                                         </t>
  </si>
  <si>
    <t>จัดซื้อ/จัดหาด้วยเงินบำรุงของ รพ. ปี 2569</t>
  </si>
  <si>
    <t>เกิน</t>
  </si>
  <si>
    <t>ไม่เกิน</t>
  </si>
  <si>
    <t>R</t>
  </si>
  <si>
    <t>สันป่าตอง,รพท.</t>
  </si>
  <si>
    <t>สันทราย,รพท.</t>
  </si>
  <si>
    <t>แม่ตื่น,รพช.</t>
  </si>
  <si>
    <t>รพศ.นครพิงค์, รพท.จอมทอง, รพท.ฝาง, รพท.สันทราย, รพท.สันป่าตอง, 
รพช.เทพรัตนเวชชานุกุลฯ, รพช.สะเมิง, รพช.เวียงแหง และรพช.แม่ตื่น</t>
  </si>
  <si>
    <t>รพท.ศรีสังวาลย์ และรพ.ขุนยวม</t>
  </si>
  <si>
    <t>สรุป Planfin ปี 2569 รอบปรับแผนครึ่งปีหลัง</t>
  </si>
  <si>
    <t>จังหวัดแม่ฮ่องสอน 4 แห่ง คือ รพท.ศรีสังวาลย์ ,รพช.ปาย ,รพช.แม่สะเรียง และรพช.ปางมะผ้า</t>
  </si>
  <si>
    <t xml:space="preserve">   </t>
  </si>
  <si>
    <t>รพช.ลอง และรพช.สูงเม่น</t>
  </si>
  <si>
    <t>รพศ.เชียงรายประชานุเคราะห์, รพท.แม่สาย, รพช.แม่จัน, รพช.เชียงแสน, รพช.แม่สรวย, รพช.พญาเม็งราย, รพช.แม่ฟ้าหลวง, รพช.แม่ลาว, รพร.พระญาณสังวร และรพช.ดอยหลวง</t>
  </si>
  <si>
    <t>รพศ.ลำปาง, รพท.เกาะคา, รพช.เสริมงาม, รพช.งาว และรพช.เถิน</t>
  </si>
  <si>
    <t>รพท.พะเยา, รพท.เชียงคำ, รพช.เชียงม่วน, รพช.ดอกคำใต้, รพช.ปง, รพช.ภูซาง และรพช.ภูกามยาว</t>
  </si>
  <si>
    <t>รพศ.ลำพูน, รพช.แม่ทา, รพช.ทุ่งหัวช้าง, รพช.ป่าซาง และรพช.บ้านธิ</t>
  </si>
  <si>
    <t>รพช.ท่าวังผา และรพร.ปัว</t>
  </si>
  <si>
    <t>* รพ.ทำแผนขาดดุล  1  จังหวัด  4  แห่ง ดังนี้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</si>
</sst>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#,##0.00_ ;[Red]\-#,##0.00\ "/>
    <numFmt numFmtId="188" formatCode="#,##0.00_ ;\-#,##0.00\ "/>
    <numFmt numFmtId="189" formatCode="_-* #,##0_-;\-* #,##0_-;_-* &quot;-&quot;??_-;_-@_-"/>
  </numFmts>
  <fonts count="6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0"/>
      <color indexed="8"/>
      <name val="Tahoma"/>
      <family val="2"/>
    </font>
    <font>
      <b/>
      <sz val="10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color indexed="8"/>
      <name val="Arial"/>
      <family val="2"/>
    </font>
    <font>
      <b/>
      <sz val="10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name val="Arial"/>
      <family val="2"/>
    </font>
    <font>
      <sz val="11"/>
      <color indexed="8"/>
      <name val="Tahoma"/>
      <family val="2"/>
      <charset val="222"/>
    </font>
    <font>
      <sz val="14"/>
      <name val="Cordia New"/>
      <family val="2"/>
    </font>
    <font>
      <sz val="14"/>
      <name val="AngsanaUPC"/>
      <family val="1"/>
    </font>
    <font>
      <b/>
      <sz val="18"/>
      <color theme="3"/>
      <name val="Tahoma"/>
      <family val="2"/>
      <charset val="222"/>
      <scheme val="major"/>
    </font>
    <font>
      <sz val="11"/>
      <color rgb="FF9C6500"/>
      <name val="Tahoma"/>
      <family val="2"/>
      <charset val="222"/>
      <scheme val="minor"/>
    </font>
    <font>
      <b/>
      <sz val="10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0"/>
      <name val="Arial"/>
      <family val="2"/>
    </font>
    <font>
      <sz val="14"/>
      <name val="Cordia New"/>
      <family val="2"/>
      <charset val="222"/>
    </font>
    <font>
      <sz val="11"/>
      <color indexed="8"/>
      <name val="Tahoma"/>
      <family val="2"/>
    </font>
    <font>
      <sz val="14"/>
      <name val="AngsanaUPC"/>
      <family val="1"/>
      <charset val="222"/>
    </font>
    <font>
      <b/>
      <sz val="18"/>
      <color theme="3"/>
      <name val="Tahoma"/>
      <family val="2"/>
      <scheme val="major"/>
    </font>
    <font>
      <sz val="11"/>
      <color rgb="FF9C6500"/>
      <name val="Tahoma"/>
      <family val="2"/>
      <scheme val="minor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b/>
      <sz val="9"/>
      <color rgb="FFFF0000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sz val="12"/>
      <color theme="1"/>
      <name val="Tahoma"/>
      <family val="2"/>
    </font>
    <font>
      <sz val="12"/>
      <color rgb="FFFF0000"/>
      <name val="Tahoma"/>
      <family val="2"/>
    </font>
    <font>
      <b/>
      <sz val="12"/>
      <color rgb="FFFFFFFF"/>
      <name val="Tahoma"/>
      <family val="2"/>
    </font>
    <font>
      <b/>
      <u/>
      <sz val="12"/>
      <color rgb="FFFFFFFF"/>
      <name val="Tahoma"/>
      <family val="2"/>
    </font>
    <font>
      <sz val="12"/>
      <color rgb="FF000000"/>
      <name val="Tahoma"/>
      <family val="2"/>
    </font>
    <font>
      <sz val="14"/>
      <color theme="1"/>
      <name val="Tahoma"/>
      <family val="2"/>
    </font>
    <font>
      <sz val="14"/>
      <name val="Tahoma"/>
      <family val="2"/>
    </font>
    <font>
      <sz val="14"/>
      <color rgb="FFFF0000"/>
      <name val="Tahoma"/>
      <family val="2"/>
    </font>
    <font>
      <sz val="9"/>
      <color rgb="FFFF0000"/>
      <name val="Tahoma"/>
      <family val="2"/>
    </font>
    <font>
      <sz val="9"/>
      <color theme="1"/>
      <name val="Tahoma"/>
      <family val="2"/>
      <charset val="222"/>
    </font>
    <font>
      <sz val="9"/>
      <name val="Tahoma"/>
      <family val="2"/>
      <charset val="22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6"/>
      <color theme="1"/>
      <name val="TH SarabunPSK"/>
      <family val="2"/>
    </font>
  </fonts>
  <fills count="5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8" borderId="0" applyNumberFormat="0" applyBorder="0" applyAlignment="0" applyProtection="0"/>
    <xf numFmtId="0" fontId="12" fillId="9" borderId="0" applyNumberFormat="0" applyBorder="0" applyAlignment="0" applyProtection="0"/>
    <xf numFmtId="0" fontId="13" fillId="11" borderId="8" applyNumberFormat="0" applyAlignment="0" applyProtection="0"/>
    <xf numFmtId="0" fontId="14" fillId="12" borderId="9" applyNumberFormat="0" applyAlignment="0" applyProtection="0"/>
    <xf numFmtId="0" fontId="15" fillId="12" borderId="8" applyNumberFormat="0" applyAlignment="0" applyProtection="0"/>
    <xf numFmtId="0" fontId="16" fillId="0" borderId="10" applyNumberFormat="0" applyFill="0" applyAlignment="0" applyProtection="0"/>
    <xf numFmtId="0" fontId="17" fillId="13" borderId="11" applyNumberFormat="0" applyAlignment="0" applyProtection="0"/>
    <xf numFmtId="0" fontId="18" fillId="0" borderId="0" applyNumberFormat="0" applyFill="0" applyBorder="0" applyAlignment="0" applyProtection="0"/>
    <xf numFmtId="0" fontId="1" fillId="14" borderId="12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3" fillId="0" borderId="0"/>
    <xf numFmtId="43" fontId="23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" fillId="0" borderId="0"/>
    <xf numFmtId="0" fontId="24" fillId="0" borderId="0"/>
    <xf numFmtId="43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4" fillId="0" borderId="0"/>
    <xf numFmtId="0" fontId="26" fillId="0" borderId="0" applyNumberFormat="0" applyFill="0" applyBorder="0" applyAlignment="0" applyProtection="0"/>
    <xf numFmtId="0" fontId="27" fillId="10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30" borderId="0" applyNumberFormat="0" applyBorder="0" applyAlignment="0" applyProtection="0"/>
    <xf numFmtId="0" fontId="21" fillId="34" borderId="0" applyNumberFormat="0" applyBorder="0" applyAlignment="0" applyProtection="0"/>
    <xf numFmtId="0" fontId="21" fillId="38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31" fillId="48" borderId="0" applyNumberFormat="0" applyBorder="0" applyAlignment="0" applyProtection="0"/>
    <xf numFmtId="0" fontId="31" fillId="45" borderId="0" applyNumberFormat="0" applyBorder="0" applyAlignment="0" applyProtection="0"/>
    <xf numFmtId="0" fontId="31" fillId="49" borderId="0" applyNumberFormat="0" applyBorder="0" applyAlignment="0" applyProtection="0"/>
    <xf numFmtId="0" fontId="31" fillId="46" borderId="0" applyNumberFormat="0" applyBorder="0" applyAlignment="0" applyProtection="0"/>
    <xf numFmtId="0" fontId="31" fillId="50" borderId="0" applyNumberFormat="0" applyBorder="0" applyAlignment="0" applyProtection="0"/>
    <xf numFmtId="0" fontId="31" fillId="44" borderId="0" applyNumberFormat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0" fillId="0" borderId="0"/>
    <xf numFmtId="0" fontId="29" fillId="0" borderId="0"/>
    <xf numFmtId="0" fontId="32" fillId="0" borderId="0"/>
    <xf numFmtId="0" fontId="35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3" fillId="0" borderId="0"/>
    <xf numFmtId="0" fontId="29" fillId="0" borderId="0"/>
    <xf numFmtId="0" fontId="30" fillId="0" borderId="0"/>
    <xf numFmtId="0" fontId="32" fillId="0" borderId="0"/>
    <xf numFmtId="0" fontId="34" fillId="0" borderId="0"/>
    <xf numFmtId="0" fontId="37" fillId="47" borderId="0" applyNumberFormat="0" applyBorder="0" applyAlignment="0" applyProtection="0"/>
    <xf numFmtId="9" fontId="30" fillId="0" borderId="0" applyFont="0" applyFill="0" applyBorder="0" applyAlignment="0" applyProtection="0"/>
    <xf numFmtId="0" fontId="1" fillId="0" borderId="0"/>
  </cellStyleXfs>
  <cellXfs count="186">
    <xf numFmtId="0" fontId="0" fillId="0" borderId="0" xfId="0"/>
    <xf numFmtId="0" fontId="3" fillId="0" borderId="1" xfId="2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88" fontId="6" fillId="0" borderId="1" xfId="1" applyNumberFormat="1" applyFont="1" applyBorder="1" applyAlignment="1">
      <alignment horizontal="right" vertical="center" wrapText="1"/>
    </xf>
    <xf numFmtId="188" fontId="7" fillId="0" borderId="0" xfId="1" applyNumberFormat="1" applyFont="1" applyAlignment="1">
      <alignment horizontal="right"/>
    </xf>
    <xf numFmtId="4" fontId="6" fillId="0" borderId="1" xfId="0" applyNumberFormat="1" applyFont="1" applyBorder="1" applyAlignment="1">
      <alignment horizontal="right" vertical="center" wrapText="1"/>
    </xf>
    <xf numFmtId="4" fontId="7" fillId="0" borderId="0" xfId="0" applyNumberFormat="1" applyFont="1" applyAlignment="1">
      <alignment horizontal="right"/>
    </xf>
    <xf numFmtId="4" fontId="6" fillId="4" borderId="1" xfId="0" applyNumberFormat="1" applyFont="1" applyFill="1" applyBorder="1" applyAlignment="1">
      <alignment horizontal="right" vertical="center" wrapText="1"/>
    </xf>
    <xf numFmtId="0" fontId="38" fillId="0" borderId="1" xfId="2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188" fontId="38" fillId="0" borderId="1" xfId="1" applyNumberFormat="1" applyFont="1" applyBorder="1" applyAlignment="1">
      <alignment horizontal="center" vertical="center" wrapText="1"/>
    </xf>
    <xf numFmtId="4" fontId="38" fillId="0" borderId="1" xfId="0" applyNumberFormat="1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 readingOrder="1"/>
    </xf>
    <xf numFmtId="0" fontId="38" fillId="0" borderId="0" xfId="0" applyFont="1" applyAlignment="1">
      <alignment horizontal="center" vertical="center" wrapText="1"/>
    </xf>
    <xf numFmtId="0" fontId="39" fillId="0" borderId="1" xfId="2" applyFont="1" applyBorder="1" applyAlignment="1">
      <alignment horizontal="center"/>
    </xf>
    <xf numFmtId="0" fontId="39" fillId="0" borderId="1" xfId="0" applyFont="1" applyBorder="1"/>
    <xf numFmtId="0" fontId="41" fillId="0" borderId="1" xfId="0" applyFont="1" applyBorder="1"/>
    <xf numFmtId="43" fontId="42" fillId="0" borderId="1" xfId="1" applyFont="1" applyFill="1" applyBorder="1" applyAlignment="1">
      <alignment horizontal="center"/>
    </xf>
    <xf numFmtId="43" fontId="41" fillId="0" borderId="1" xfId="1" applyFont="1" applyBorder="1" applyAlignment="1">
      <alignment horizontal="center"/>
    </xf>
    <xf numFmtId="43" fontId="41" fillId="0" borderId="4" xfId="1" applyFont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0" fontId="41" fillId="0" borderId="1" xfId="0" applyFont="1" applyBorder="1" applyAlignment="1">
      <alignment horizontal="center" readingOrder="1"/>
    </xf>
    <xf numFmtId="0" fontId="39" fillId="0" borderId="0" xfId="0" applyFont="1" applyAlignment="1">
      <alignment horizontal="center"/>
    </xf>
    <xf numFmtId="1" fontId="39" fillId="0" borderId="1" xfId="2" applyNumberFormat="1" applyFont="1" applyBorder="1" applyAlignment="1">
      <alignment horizontal="center"/>
    </xf>
    <xf numFmtId="43" fontId="40" fillId="0" borderId="1" xfId="1" applyFont="1" applyFill="1" applyBorder="1" applyAlignment="1">
      <alignment horizontal="center"/>
    </xf>
    <xf numFmtId="0" fontId="39" fillId="0" borderId="1" xfId="17" applyFont="1" applyBorder="1" applyAlignment="1">
      <alignment horizontal="center"/>
    </xf>
    <xf numFmtId="0" fontId="39" fillId="4" borderId="1" xfId="194" applyFont="1" applyFill="1" applyBorder="1"/>
    <xf numFmtId="0" fontId="39" fillId="0" borderId="0" xfId="0" applyFont="1"/>
    <xf numFmtId="0" fontId="39" fillId="0" borderId="1" xfId="2" applyFont="1" applyBorder="1" applyAlignment="1">
      <alignment horizontal="left"/>
    </xf>
    <xf numFmtId="43" fontId="41" fillId="0" borderId="1" xfId="1" applyFont="1" applyFill="1" applyBorder="1" applyAlignment="1">
      <alignment horizontal="center"/>
    </xf>
    <xf numFmtId="43" fontId="39" fillId="0" borderId="1" xfId="1" applyFont="1" applyFill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39" fillId="0" borderId="1" xfId="0" applyFont="1" applyBorder="1" applyAlignment="1">
      <alignment horizontal="left"/>
    </xf>
    <xf numFmtId="1" fontId="39" fillId="0" borderId="1" xfId="0" applyNumberFormat="1" applyFont="1" applyBorder="1" applyAlignment="1">
      <alignment horizontal="center"/>
    </xf>
    <xf numFmtId="1" fontId="39" fillId="0" borderId="1" xfId="0" applyNumberFormat="1" applyFont="1" applyBorder="1" applyAlignment="1">
      <alignment horizontal="left"/>
    </xf>
    <xf numFmtId="0" fontId="38" fillId="5" borderId="1" xfId="0" applyFont="1" applyFill="1" applyBorder="1" applyAlignment="1">
      <alignment horizontal="center"/>
    </xf>
    <xf numFmtId="0" fontId="38" fillId="43" borderId="1" xfId="0" applyFont="1" applyFill="1" applyBorder="1" applyAlignment="1">
      <alignment horizontal="center"/>
    </xf>
    <xf numFmtId="0" fontId="43" fillId="4" borderId="0" xfId="0" applyFont="1" applyFill="1" applyAlignment="1">
      <alignment horizontal="left"/>
    </xf>
    <xf numFmtId="0" fontId="43" fillId="4" borderId="0" xfId="0" applyFont="1" applyFill="1"/>
    <xf numFmtId="0" fontId="38" fillId="3" borderId="2" xfId="0" applyFont="1" applyFill="1" applyBorder="1" applyAlignment="1">
      <alignment horizontal="center" vertical="center" wrapText="1"/>
    </xf>
    <xf numFmtId="0" fontId="43" fillId="0" borderId="0" xfId="0" applyFont="1"/>
    <xf numFmtId="0" fontId="38" fillId="0" borderId="1" xfId="0" applyFont="1" applyBorder="1" applyAlignment="1">
      <alignment horizontal="center" vertical="center"/>
    </xf>
    <xf numFmtId="0" fontId="38" fillId="6" borderId="1" xfId="0" applyFont="1" applyFill="1" applyBorder="1" applyAlignment="1">
      <alignment horizontal="center" vertical="center"/>
    </xf>
    <xf numFmtId="0" fontId="38" fillId="3" borderId="3" xfId="0" applyFont="1" applyFill="1" applyBorder="1" applyAlignment="1">
      <alignment horizontal="center" wrapText="1"/>
    </xf>
    <xf numFmtId="0" fontId="38" fillId="2" borderId="1" xfId="0" applyFont="1" applyFill="1" applyBorder="1" applyAlignment="1">
      <alignment horizontal="center" vertical="center"/>
    </xf>
    <xf numFmtId="0" fontId="38" fillId="7" borderId="3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8" fillId="7" borderId="1" xfId="0" applyFont="1" applyFill="1" applyBorder="1" applyAlignment="1">
      <alignment horizontal="center" vertical="center"/>
    </xf>
    <xf numFmtId="0" fontId="41" fillId="0" borderId="1" xfId="2" applyFont="1" applyBorder="1" applyAlignment="1">
      <alignment horizontal="center"/>
    </xf>
    <xf numFmtId="0" fontId="41" fillId="0" borderId="1" xfId="2" applyFont="1" applyBorder="1" applyAlignment="1">
      <alignment horizontal="left"/>
    </xf>
    <xf numFmtId="0" fontId="41" fillId="0" borderId="0" xfId="0" applyFont="1" applyAlignment="1">
      <alignment horizontal="center"/>
    </xf>
    <xf numFmtId="1" fontId="41" fillId="0" borderId="1" xfId="2" applyNumberFormat="1" applyFont="1" applyBorder="1" applyAlignment="1">
      <alignment horizontal="center"/>
    </xf>
    <xf numFmtId="49" fontId="39" fillId="0" borderId="1" xfId="0" applyNumberFormat="1" applyFont="1" applyBorder="1" applyAlignment="1">
      <alignment horizontal="center"/>
    </xf>
    <xf numFmtId="1" fontId="41" fillId="4" borderId="1" xfId="2" applyNumberFormat="1" applyFont="1" applyFill="1" applyBorder="1" applyAlignment="1">
      <alignment horizontal="center"/>
    </xf>
    <xf numFmtId="0" fontId="41" fillId="4" borderId="1" xfId="2" applyFont="1" applyFill="1" applyBorder="1" applyAlignment="1">
      <alignment horizontal="center"/>
    </xf>
    <xf numFmtId="0" fontId="41" fillId="4" borderId="1" xfId="2" applyFont="1" applyFill="1" applyBorder="1" applyAlignment="1">
      <alignment horizontal="left"/>
    </xf>
    <xf numFmtId="0" fontId="41" fillId="4" borderId="0" xfId="0" applyFont="1" applyFill="1" applyAlignment="1">
      <alignment horizontal="center"/>
    </xf>
    <xf numFmtId="0" fontId="47" fillId="4" borderId="0" xfId="0" applyFont="1" applyFill="1"/>
    <xf numFmtId="0" fontId="49" fillId="39" borderId="14" xfId="0" applyFont="1" applyFill="1" applyBorder="1" applyAlignment="1">
      <alignment horizontal="center" vertical="center" wrapText="1" readingOrder="1"/>
    </xf>
    <xf numFmtId="0" fontId="49" fillId="39" borderId="15" xfId="0" applyFont="1" applyFill="1" applyBorder="1" applyAlignment="1">
      <alignment horizontal="center" vertical="center" wrapText="1" readingOrder="1"/>
    </xf>
    <xf numFmtId="0" fontId="47" fillId="39" borderId="15" xfId="0" applyFont="1" applyFill="1" applyBorder="1" applyAlignment="1">
      <alignment horizontal="center" vertical="center" wrapText="1"/>
    </xf>
    <xf numFmtId="0" fontId="50" fillId="39" borderId="15" xfId="0" applyFont="1" applyFill="1" applyBorder="1" applyAlignment="1">
      <alignment horizontal="center" vertical="center" wrapText="1" readingOrder="1"/>
    </xf>
    <xf numFmtId="0" fontId="47" fillId="39" borderId="16" xfId="0" applyFont="1" applyFill="1" applyBorder="1" applyAlignment="1">
      <alignment horizontal="center" vertical="center" wrapText="1"/>
    </xf>
    <xf numFmtId="0" fontId="49" fillId="39" borderId="16" xfId="0" applyFont="1" applyFill="1" applyBorder="1" applyAlignment="1">
      <alignment horizontal="center" vertical="center" wrapText="1" readingOrder="1"/>
    </xf>
    <xf numFmtId="0" fontId="51" fillId="40" borderId="17" xfId="0" applyFont="1" applyFill="1" applyBorder="1" applyAlignment="1">
      <alignment horizontal="center" vertical="center" wrapText="1" readingOrder="1"/>
    </xf>
    <xf numFmtId="0" fontId="51" fillId="40" borderId="17" xfId="0" applyFont="1" applyFill="1" applyBorder="1" applyAlignment="1">
      <alignment horizontal="left" vertical="center" wrapText="1" readingOrder="1"/>
    </xf>
    <xf numFmtId="0" fontId="47" fillId="5" borderId="0" xfId="0" applyFont="1" applyFill="1"/>
    <xf numFmtId="0" fontId="51" fillId="41" borderId="18" xfId="0" applyFont="1" applyFill="1" applyBorder="1" applyAlignment="1">
      <alignment horizontal="center" vertical="center" wrapText="1" readingOrder="1"/>
    </xf>
    <xf numFmtId="0" fontId="48" fillId="41" borderId="18" xfId="0" applyFont="1" applyFill="1" applyBorder="1" applyAlignment="1">
      <alignment horizontal="center" vertical="center" wrapText="1" readingOrder="1"/>
    </xf>
    <xf numFmtId="0" fontId="51" fillId="41" borderId="18" xfId="0" applyFont="1" applyFill="1" applyBorder="1" applyAlignment="1">
      <alignment horizontal="left" vertical="center" wrapText="1" readingOrder="1"/>
    </xf>
    <xf numFmtId="0" fontId="47" fillId="2" borderId="0" xfId="0" applyFont="1" applyFill="1"/>
    <xf numFmtId="0" fontId="51" fillId="40" borderId="14" xfId="0" applyFont="1" applyFill="1" applyBorder="1" applyAlignment="1">
      <alignment horizontal="center" vertical="center" wrapText="1" readingOrder="1"/>
    </xf>
    <xf numFmtId="0" fontId="51" fillId="40" borderId="14" xfId="0" applyFont="1" applyFill="1" applyBorder="1" applyAlignment="1">
      <alignment horizontal="left" vertical="center" wrapText="1" readingOrder="1"/>
    </xf>
    <xf numFmtId="0" fontId="51" fillId="41" borderId="14" xfId="0" applyFont="1" applyFill="1" applyBorder="1" applyAlignment="1">
      <alignment horizontal="center" vertical="center" wrapText="1" readingOrder="1"/>
    </xf>
    <xf numFmtId="0" fontId="48" fillId="41" borderId="14" xfId="0" applyFont="1" applyFill="1" applyBorder="1" applyAlignment="1">
      <alignment horizontal="center" vertical="center" wrapText="1" readingOrder="1"/>
    </xf>
    <xf numFmtId="0" fontId="51" fillId="41" borderId="14" xfId="0" applyFont="1" applyFill="1" applyBorder="1" applyAlignment="1">
      <alignment horizontal="left" vertical="center" wrapText="1" readingOrder="1"/>
    </xf>
    <xf numFmtId="0" fontId="47" fillId="42" borderId="0" xfId="0" applyFont="1" applyFill="1"/>
    <xf numFmtId="0" fontId="51" fillId="40" borderId="18" xfId="0" applyFont="1" applyFill="1" applyBorder="1" applyAlignment="1">
      <alignment horizontal="center" vertical="center" wrapText="1" readingOrder="1"/>
    </xf>
    <xf numFmtId="0" fontId="48" fillId="40" borderId="18" xfId="0" applyFont="1" applyFill="1" applyBorder="1" applyAlignment="1">
      <alignment horizontal="center" vertical="center" wrapText="1" readingOrder="1"/>
    </xf>
    <xf numFmtId="0" fontId="51" fillId="40" borderId="18" xfId="0" applyFont="1" applyFill="1" applyBorder="1" applyAlignment="1">
      <alignment horizontal="left" vertical="center" wrapText="1" readingOrder="1"/>
    </xf>
    <xf numFmtId="0" fontId="48" fillId="40" borderId="14" xfId="0" applyFont="1" applyFill="1" applyBorder="1" applyAlignment="1">
      <alignment horizontal="center" vertical="center" wrapText="1" readingOrder="1"/>
    </xf>
    <xf numFmtId="0" fontId="47" fillId="6" borderId="0" xfId="0" applyFont="1" applyFill="1"/>
    <xf numFmtId="0" fontId="52" fillId="4" borderId="0" xfId="0" applyFont="1" applyFill="1"/>
    <xf numFmtId="0" fontId="52" fillId="0" borderId="0" xfId="0" applyFont="1"/>
    <xf numFmtId="0" fontId="53" fillId="4" borderId="0" xfId="0" applyFont="1" applyFill="1" applyAlignment="1">
      <alignment horizontal="center"/>
    </xf>
    <xf numFmtId="0" fontId="54" fillId="4" borderId="0" xfId="0" applyFont="1" applyFill="1" applyAlignment="1">
      <alignment horizontal="center"/>
    </xf>
    <xf numFmtId="0" fontId="52" fillId="4" borderId="0" xfId="0" applyFont="1" applyFill="1" applyAlignment="1">
      <alignment vertical="center" wrapText="1"/>
    </xf>
    <xf numFmtId="0" fontId="52" fillId="0" borderId="0" xfId="0" applyFont="1" applyAlignment="1">
      <alignment vertical="center" wrapText="1"/>
    </xf>
    <xf numFmtId="187" fontId="38" fillId="0" borderId="1" xfId="0" applyNumberFormat="1" applyFont="1" applyBorder="1" applyAlignment="1">
      <alignment horizontal="center"/>
    </xf>
    <xf numFmtId="187" fontId="40" fillId="0" borderId="1" xfId="0" applyNumberFormat="1" applyFont="1" applyBorder="1" applyAlignment="1">
      <alignment horizontal="center"/>
    </xf>
    <xf numFmtId="187" fontId="56" fillId="4" borderId="19" xfId="1" applyNumberFormat="1" applyFont="1" applyFill="1" applyBorder="1" applyAlignment="1">
      <alignment vertical="center"/>
    </xf>
    <xf numFmtId="187" fontId="56" fillId="4" borderId="1" xfId="1" applyNumberFormat="1" applyFont="1" applyFill="1" applyBorder="1" applyAlignment="1">
      <alignment vertical="center"/>
    </xf>
    <xf numFmtId="187" fontId="57" fillId="4" borderId="3" xfId="1" applyNumberFormat="1" applyFont="1" applyFill="1" applyBorder="1" applyAlignment="1">
      <alignment vertical="center"/>
    </xf>
    <xf numFmtId="0" fontId="57" fillId="4" borderId="1" xfId="0" applyFont="1" applyFill="1" applyBorder="1" applyAlignment="1">
      <alignment horizontal="center" vertical="center" wrapText="1" readingOrder="1"/>
    </xf>
    <xf numFmtId="40" fontId="39" fillId="0" borderId="1" xfId="1" applyNumberFormat="1" applyFont="1" applyFill="1" applyBorder="1" applyAlignment="1">
      <alignment vertical="top"/>
    </xf>
    <xf numFmtId="40" fontId="39" fillId="0" borderId="1" xfId="0" applyNumberFormat="1" applyFont="1" applyBorder="1" applyAlignment="1">
      <alignment vertical="top"/>
    </xf>
    <xf numFmtId="40" fontId="39" fillId="4" borderId="1" xfId="11" applyNumberFormat="1" applyFont="1" applyFill="1" applyBorder="1" applyAlignment="1">
      <alignment horizontal="right"/>
    </xf>
    <xf numFmtId="40" fontId="41" fillId="4" borderId="1" xfId="11" applyNumberFormat="1" applyFont="1" applyFill="1" applyBorder="1" applyAlignment="1">
      <alignment horizontal="right"/>
    </xf>
    <xf numFmtId="40" fontId="39" fillId="4" borderId="1" xfId="0" applyNumberFormat="1" applyFont="1" applyFill="1" applyBorder="1" applyAlignment="1">
      <alignment horizontal="right"/>
    </xf>
    <xf numFmtId="187" fontId="39" fillId="4" borderId="1" xfId="0" applyNumberFormat="1" applyFont="1" applyFill="1" applyBorder="1" applyAlignment="1">
      <alignment horizontal="right"/>
    </xf>
    <xf numFmtId="187" fontId="39" fillId="4" borderId="1" xfId="11" applyNumberFormat="1" applyFont="1" applyFill="1" applyBorder="1" applyAlignment="1">
      <alignment horizontal="right"/>
    </xf>
    <xf numFmtId="40" fontId="39" fillId="0" borderId="1" xfId="0" applyNumberFormat="1" applyFont="1" applyBorder="1" applyAlignment="1">
      <alignment horizontal="center" vertical="top"/>
    </xf>
    <xf numFmtId="40" fontId="55" fillId="0" borderId="1" xfId="0" applyNumberFormat="1" applyFont="1" applyBorder="1" applyAlignment="1">
      <alignment horizontal="center" vertical="top"/>
    </xf>
    <xf numFmtId="0" fontId="28" fillId="0" borderId="0" xfId="0" applyFont="1" applyAlignment="1">
      <alignment horizontal="center" vertical="center" wrapText="1"/>
    </xf>
    <xf numFmtId="0" fontId="38" fillId="0" borderId="1" xfId="0" applyFont="1" applyBorder="1" applyAlignment="1">
      <alignment horizontal="center" wrapText="1"/>
    </xf>
    <xf numFmtId="0" fontId="46" fillId="0" borderId="0" xfId="0" applyFont="1"/>
    <xf numFmtId="0" fontId="38" fillId="3" borderId="1" xfId="0" applyFont="1" applyFill="1" applyBorder="1" applyAlignment="1">
      <alignment horizontal="center"/>
    </xf>
    <xf numFmtId="187" fontId="39" fillId="0" borderId="1" xfId="1" applyNumberFormat="1" applyFont="1" applyBorder="1" applyAlignment="1">
      <alignment horizontal="right"/>
    </xf>
    <xf numFmtId="187" fontId="39" fillId="0" borderId="1" xfId="1" applyNumberFormat="1" applyFont="1" applyFill="1" applyBorder="1" applyAlignment="1">
      <alignment horizontal="right"/>
    </xf>
    <xf numFmtId="187" fontId="42" fillId="0" borderId="1" xfId="0" applyNumberFormat="1" applyFont="1" applyBorder="1" applyAlignment="1">
      <alignment horizontal="center"/>
    </xf>
    <xf numFmtId="40" fontId="39" fillId="4" borderId="1" xfId="1" applyNumberFormat="1" applyFont="1" applyFill="1" applyBorder="1" applyAlignment="1">
      <alignment vertical="center"/>
    </xf>
    <xf numFmtId="40" fontId="39" fillId="0" borderId="1" xfId="1" applyNumberFormat="1" applyFont="1" applyBorder="1" applyAlignment="1">
      <alignment horizontal="right"/>
    </xf>
    <xf numFmtId="40" fontId="39" fillId="4" borderId="1" xfId="0" applyNumberFormat="1" applyFont="1" applyFill="1" applyBorder="1" applyAlignment="1">
      <alignment vertical="center"/>
    </xf>
    <xf numFmtId="40" fontId="39" fillId="0" borderId="1" xfId="1" applyNumberFormat="1" applyFont="1" applyBorder="1" applyAlignment="1">
      <alignment vertical="top"/>
    </xf>
    <xf numFmtId="187" fontId="39" fillId="0" borderId="1" xfId="11" applyNumberFormat="1" applyFont="1" applyBorder="1" applyAlignment="1">
      <alignment horizontal="right"/>
    </xf>
    <xf numFmtId="43" fontId="39" fillId="0" borderId="1" xfId="1" applyFont="1" applyBorder="1" applyAlignment="1">
      <alignment horizontal="right"/>
    </xf>
    <xf numFmtId="40" fontId="38" fillId="0" borderId="1" xfId="1" applyNumberFormat="1" applyFont="1" applyFill="1" applyBorder="1" applyAlignment="1">
      <alignment horizontal="center"/>
    </xf>
    <xf numFmtId="187" fontId="39" fillId="0" borderId="1" xfId="1" applyNumberFormat="1" applyFont="1" applyFill="1" applyBorder="1" applyAlignment="1">
      <alignment vertical="top"/>
    </xf>
    <xf numFmtId="2" fontId="39" fillId="0" borderId="1" xfId="1" applyNumberFormat="1" applyFont="1" applyBorder="1" applyAlignment="1">
      <alignment horizontal="right"/>
    </xf>
    <xf numFmtId="40" fontId="60" fillId="0" borderId="0" xfId="56" applyNumberFormat="1" applyFont="1" applyFill="1" applyBorder="1" applyAlignment="1">
      <alignment vertical="top"/>
    </xf>
    <xf numFmtId="43" fontId="60" fillId="0" borderId="0" xfId="1" applyFont="1" applyAlignment="1">
      <alignment vertical="top"/>
    </xf>
    <xf numFmtId="0" fontId="60" fillId="0" borderId="0" xfId="339" applyFont="1" applyAlignment="1">
      <alignment vertical="top"/>
    </xf>
    <xf numFmtId="40" fontId="60" fillId="0" borderId="0" xfId="339" applyNumberFormat="1" applyFont="1" applyAlignment="1">
      <alignment vertical="top"/>
    </xf>
    <xf numFmtId="43" fontId="39" fillId="0" borderId="1" xfId="1" applyFont="1" applyBorder="1" applyAlignment="1">
      <alignment horizontal="center"/>
    </xf>
    <xf numFmtId="187" fontId="55" fillId="0" borderId="1" xfId="1" applyNumberFormat="1" applyFont="1" applyFill="1" applyBorder="1" applyAlignment="1">
      <alignment horizontal="right"/>
    </xf>
    <xf numFmtId="187" fontId="41" fillId="0" borderId="1" xfId="1" applyNumberFormat="1" applyFont="1" applyFill="1" applyBorder="1" applyAlignment="1">
      <alignment horizontal="right"/>
    </xf>
    <xf numFmtId="43" fontId="39" fillId="0" borderId="1" xfId="0" applyNumberFormat="1" applyFont="1" applyBorder="1" applyAlignment="1">
      <alignment vertical="top"/>
    </xf>
    <xf numFmtId="43" fontId="39" fillId="0" borderId="1" xfId="1" applyFont="1" applyFill="1" applyBorder="1" applyAlignment="1">
      <alignment vertical="top"/>
    </xf>
    <xf numFmtId="43" fontId="41" fillId="0" borderId="1" xfId="1" applyFont="1" applyFill="1" applyBorder="1" applyAlignment="1">
      <alignment horizontal="right"/>
    </xf>
    <xf numFmtId="43" fontId="39" fillId="0" borderId="1" xfId="0" applyNumberFormat="1" applyFont="1" applyBorder="1"/>
    <xf numFmtId="43" fontId="39" fillId="0" borderId="1" xfId="0" applyNumberFormat="1" applyFont="1" applyBorder="1" applyAlignment="1">
      <alignment horizontal="right" vertical="center"/>
    </xf>
    <xf numFmtId="43" fontId="55" fillId="0" borderId="1" xfId="0" applyNumberFormat="1" applyFont="1" applyBorder="1" applyAlignment="1">
      <alignment vertical="top"/>
    </xf>
    <xf numFmtId="0" fontId="38" fillId="0" borderId="2" xfId="0" applyFont="1" applyBorder="1" applyAlignment="1">
      <alignment horizontal="center" vertical="center"/>
    </xf>
    <xf numFmtId="0" fontId="38" fillId="6" borderId="2" xfId="0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center" vertical="center"/>
    </xf>
    <xf numFmtId="0" fontId="38" fillId="7" borderId="2" xfId="0" applyFont="1" applyFill="1" applyBorder="1" applyAlignment="1">
      <alignment horizontal="center" vertical="center"/>
    </xf>
    <xf numFmtId="0" fontId="38" fillId="4" borderId="2" xfId="0" applyFont="1" applyFill="1" applyBorder="1" applyAlignment="1">
      <alignment horizontal="center" vertical="center"/>
    </xf>
    <xf numFmtId="40" fontId="39" fillId="0" borderId="1" xfId="1" applyNumberFormat="1" applyFont="1" applyFill="1" applyBorder="1" applyAlignment="1">
      <alignment vertical="center" wrapText="1"/>
    </xf>
    <xf numFmtId="40" fontId="39" fillId="0" borderId="1" xfId="1" applyNumberFormat="1" applyFont="1" applyBorder="1" applyAlignment="1">
      <alignment vertical="center" wrapText="1"/>
    </xf>
    <xf numFmtId="40" fontId="41" fillId="0" borderId="1" xfId="1" applyNumberFormat="1" applyFont="1" applyBorder="1" applyAlignment="1">
      <alignment horizontal="center"/>
    </xf>
    <xf numFmtId="189" fontId="41" fillId="0" borderId="1" xfId="1" applyNumberFormat="1" applyFont="1" applyBorder="1" applyAlignment="1">
      <alignment horizontal="center"/>
    </xf>
    <xf numFmtId="189" fontId="39" fillId="0" borderId="1" xfId="1" applyNumberFormat="1" applyFont="1" applyFill="1" applyBorder="1" applyAlignment="1">
      <alignment vertical="center" wrapText="1"/>
    </xf>
    <xf numFmtId="189" fontId="39" fillId="0" borderId="1" xfId="1" applyNumberFormat="1" applyFont="1" applyFill="1" applyBorder="1" applyAlignment="1">
      <alignment vertical="center"/>
    </xf>
    <xf numFmtId="189" fontId="39" fillId="0" borderId="1" xfId="1" applyNumberFormat="1" applyFont="1" applyBorder="1" applyAlignment="1">
      <alignment horizontal="right"/>
    </xf>
    <xf numFmtId="189" fontId="7" fillId="0" borderId="0" xfId="0" applyNumberFormat="1" applyFont="1" applyAlignment="1">
      <alignment horizontal="center"/>
    </xf>
    <xf numFmtId="189" fontId="7" fillId="0" borderId="0" xfId="1" applyNumberFormat="1" applyFont="1" applyAlignment="1">
      <alignment horizontal="right"/>
    </xf>
    <xf numFmtId="189" fontId="7" fillId="0" borderId="0" xfId="0" applyNumberFormat="1" applyFont="1" applyAlignment="1">
      <alignment horizontal="right"/>
    </xf>
    <xf numFmtId="187" fontId="38" fillId="5" borderId="1" xfId="0" applyNumberFormat="1" applyFont="1" applyFill="1" applyBorder="1" applyAlignment="1">
      <alignment horizontal="center"/>
    </xf>
    <xf numFmtId="0" fontId="38" fillId="4" borderId="1" xfId="0" applyFont="1" applyFill="1" applyBorder="1" applyAlignment="1">
      <alignment horizontal="center" vertical="center" wrapText="1"/>
    </xf>
    <xf numFmtId="43" fontId="39" fillId="0" borderId="1" xfId="69" applyFont="1" applyFill="1" applyBorder="1" applyAlignment="1">
      <alignment horizontal="right" vertical="top"/>
    </xf>
    <xf numFmtId="43" fontId="39" fillId="0" borderId="1" xfId="55" applyNumberFormat="1" applyFont="1" applyBorder="1" applyAlignment="1">
      <alignment horizontal="right" vertical="top"/>
    </xf>
    <xf numFmtId="43" fontId="39" fillId="51" borderId="1" xfId="13" applyFont="1" applyFill="1" applyBorder="1" applyAlignment="1">
      <alignment horizontal="right" vertical="top"/>
    </xf>
    <xf numFmtId="43" fontId="39" fillId="51" borderId="1" xfId="10" applyNumberFormat="1" applyFont="1" applyFill="1" applyBorder="1" applyAlignment="1">
      <alignment horizontal="right" vertical="top"/>
    </xf>
    <xf numFmtId="43" fontId="39" fillId="0" borderId="1" xfId="13" applyFont="1" applyFill="1" applyBorder="1" applyAlignment="1">
      <alignment horizontal="right" vertical="top"/>
    </xf>
    <xf numFmtId="43" fontId="39" fillId="0" borderId="1" xfId="10" applyNumberFormat="1" applyFont="1" applyBorder="1" applyAlignment="1">
      <alignment horizontal="right" vertical="top"/>
    </xf>
    <xf numFmtId="43" fontId="39" fillId="0" borderId="1" xfId="3" applyFont="1" applyBorder="1" applyAlignment="1">
      <alignment horizontal="right" vertical="top"/>
    </xf>
    <xf numFmtId="43" fontId="39" fillId="51" borderId="1" xfId="3" applyFont="1" applyFill="1" applyBorder="1" applyAlignment="1">
      <alignment horizontal="right" vertical="top"/>
    </xf>
    <xf numFmtId="43" fontId="39" fillId="0" borderId="1" xfId="1" applyFont="1" applyFill="1" applyBorder="1" applyAlignment="1">
      <alignment horizontal="right"/>
    </xf>
    <xf numFmtId="43" fontId="39" fillId="0" borderId="1" xfId="55" applyNumberFormat="1" applyFont="1" applyBorder="1" applyAlignment="1">
      <alignment vertical="top"/>
    </xf>
    <xf numFmtId="43" fontId="39" fillId="51" borderId="1" xfId="10" applyNumberFormat="1" applyFont="1" applyFill="1" applyBorder="1" applyAlignment="1">
      <alignment vertical="top"/>
    </xf>
    <xf numFmtId="43" fontId="39" fillId="0" borderId="1" xfId="10" applyNumberFormat="1" applyFont="1" applyBorder="1" applyAlignment="1">
      <alignment vertical="top"/>
    </xf>
    <xf numFmtId="43" fontId="39" fillId="0" borderId="1" xfId="3" applyFont="1" applyBorder="1" applyAlignment="1">
      <alignment vertical="top"/>
    </xf>
    <xf numFmtId="43" fontId="39" fillId="51" borderId="1" xfId="3" applyFont="1" applyFill="1" applyBorder="1" applyAlignment="1">
      <alignment vertical="top"/>
    </xf>
    <xf numFmtId="43" fontId="39" fillId="0" borderId="1" xfId="55" applyNumberFormat="1" applyFont="1" applyBorder="1" applyAlignment="1">
      <alignment horizontal="right" vertical="center"/>
    </xf>
    <xf numFmtId="0" fontId="42" fillId="0" borderId="1" xfId="1" applyNumberFormat="1" applyFont="1" applyFill="1" applyBorder="1" applyAlignment="1">
      <alignment horizontal="center"/>
    </xf>
    <xf numFmtId="43" fontId="39" fillId="0" borderId="1" xfId="3" applyFont="1" applyFill="1" applyBorder="1" applyAlignment="1">
      <alignment horizontal="right" vertical="top"/>
    </xf>
    <xf numFmtId="0" fontId="39" fillId="0" borderId="0" xfId="0" applyFont="1" applyAlignment="1">
      <alignment horizontal="left"/>
    </xf>
    <xf numFmtId="1" fontId="39" fillId="0" borderId="0" xfId="0" applyNumberFormat="1" applyFont="1" applyAlignment="1">
      <alignment horizontal="left"/>
    </xf>
    <xf numFmtId="0" fontId="39" fillId="0" borderId="0" xfId="2" applyFont="1" applyAlignment="1">
      <alignment horizontal="left"/>
    </xf>
    <xf numFmtId="0" fontId="39" fillId="4" borderId="0" xfId="194" applyFont="1" applyFill="1"/>
    <xf numFmtId="0" fontId="45" fillId="0" borderId="0" xfId="0" applyFont="1" applyAlignment="1">
      <alignment horizontal="left"/>
    </xf>
    <xf numFmtId="0" fontId="44" fillId="4" borderId="0" xfId="0" applyFont="1" applyFill="1" applyAlignment="1">
      <alignment horizontal="center"/>
    </xf>
    <xf numFmtId="0" fontId="38" fillId="3" borderId="1" xfId="0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/>
    </xf>
    <xf numFmtId="0" fontId="38" fillId="3" borderId="4" xfId="0" applyFont="1" applyFill="1" applyBorder="1" applyAlignment="1">
      <alignment horizontal="center" vertical="center" wrapText="1"/>
    </xf>
    <xf numFmtId="0" fontId="38" fillId="3" borderId="2" xfId="0" applyFont="1" applyFill="1" applyBorder="1" applyAlignment="1">
      <alignment horizontal="center" vertical="center"/>
    </xf>
    <xf numFmtId="0" fontId="38" fillId="3" borderId="3" xfId="0" applyFont="1" applyFill="1" applyBorder="1" applyAlignment="1">
      <alignment horizontal="center" vertical="center"/>
    </xf>
    <xf numFmtId="0" fontId="49" fillId="39" borderId="14" xfId="0" applyFont="1" applyFill="1" applyBorder="1" applyAlignment="1">
      <alignment horizontal="center" vertical="center" wrapText="1" readingOrder="1"/>
    </xf>
    <xf numFmtId="0" fontId="49" fillId="39" borderId="15" xfId="0" applyFont="1" applyFill="1" applyBorder="1" applyAlignment="1">
      <alignment horizontal="center" vertical="center" wrapText="1" readingOrder="1"/>
    </xf>
    <xf numFmtId="0" fontId="49" fillId="39" borderId="16" xfId="0" applyFont="1" applyFill="1" applyBorder="1" applyAlignment="1">
      <alignment horizontal="center" vertical="center" wrapText="1" readingOrder="1"/>
    </xf>
  </cellXfs>
  <cellStyles count="340">
    <cellStyle name="20% - Accent1" xfId="34" builtinId="30" customBuiltin="1"/>
    <cellStyle name="20% - Accent2" xfId="37" builtinId="34" customBuiltin="1"/>
    <cellStyle name="20% - Accent3" xfId="40" builtinId="38" customBuiltin="1"/>
    <cellStyle name="20% - Accent4" xfId="43" builtinId="42" customBuiltin="1"/>
    <cellStyle name="20% - Accent5" xfId="46" builtinId="46" customBuiltin="1"/>
    <cellStyle name="20% - Accent6" xfId="49" builtinId="50" customBuiltin="1"/>
    <cellStyle name="40% - Accent1" xfId="35" builtinId="31" customBuiltin="1"/>
    <cellStyle name="40% - Accent2" xfId="38" builtinId="35" customBuiltin="1"/>
    <cellStyle name="40% - Accent3" xfId="41" builtinId="39" customBuiltin="1"/>
    <cellStyle name="40% - Accent4" xfId="44" builtinId="43" customBuiltin="1"/>
    <cellStyle name="40% - Accent5" xfId="47" builtinId="47" customBuiltin="1"/>
    <cellStyle name="40% - Accent6" xfId="50" builtinId="51" customBuiltin="1"/>
    <cellStyle name="60% - ส่วนที่ถูกเน้น1 2" xfId="182" xr:uid="{00000000-0005-0000-0000-00000C000000}"/>
    <cellStyle name="60% - ส่วนที่ถูกเน้น1 2 2" xfId="197" xr:uid="{00000000-0005-0000-0000-00000D000000}"/>
    <cellStyle name="60% - ส่วนที่ถูกเน้น2 2" xfId="183" xr:uid="{00000000-0005-0000-0000-00000E000000}"/>
    <cellStyle name="60% - ส่วนที่ถูกเน้น2 2 2" xfId="198" xr:uid="{00000000-0005-0000-0000-00000F000000}"/>
    <cellStyle name="60% - ส่วนที่ถูกเน้น3 2" xfId="184" xr:uid="{00000000-0005-0000-0000-000010000000}"/>
    <cellStyle name="60% - ส่วนที่ถูกเน้น3 2 2" xfId="199" xr:uid="{00000000-0005-0000-0000-000011000000}"/>
    <cellStyle name="60% - ส่วนที่ถูกเน้น4 2" xfId="185" xr:uid="{00000000-0005-0000-0000-000012000000}"/>
    <cellStyle name="60% - ส่วนที่ถูกเน้น4 2 2" xfId="200" xr:uid="{00000000-0005-0000-0000-000013000000}"/>
    <cellStyle name="60% - ส่วนที่ถูกเน้น5 2" xfId="186" xr:uid="{00000000-0005-0000-0000-000014000000}"/>
    <cellStyle name="60% - ส่วนที่ถูกเน้น5 2 2" xfId="201" xr:uid="{00000000-0005-0000-0000-000015000000}"/>
    <cellStyle name="60% - ส่วนที่ถูกเน้น6 2" xfId="187" xr:uid="{00000000-0005-0000-0000-000016000000}"/>
    <cellStyle name="60% - ส่วนที่ถูกเน้น6 2 2" xfId="202" xr:uid="{00000000-0005-0000-0000-000017000000}"/>
    <cellStyle name="Accent1" xfId="33" builtinId="29" customBuiltin="1"/>
    <cellStyle name="Accent2" xfId="36" builtinId="33" customBuiltin="1"/>
    <cellStyle name="Accent3" xfId="39" builtinId="37" customBuiltin="1"/>
    <cellStyle name="Accent4" xfId="42" builtinId="41" customBuiltin="1"/>
    <cellStyle name="Accent5" xfId="45" builtinId="45" customBuiltin="1"/>
    <cellStyle name="Accent6" xfId="48" builtinId="49" customBuiltin="1"/>
    <cellStyle name="Bad" xfId="23" builtinId="27" customBuiltin="1"/>
    <cellStyle name="Calculation" xfId="26" builtinId="22" customBuiltin="1"/>
    <cellStyle name="Check Cell" xfId="28" builtinId="23" customBuiltin="1"/>
    <cellStyle name="Comma" xfId="1" builtinId="3"/>
    <cellStyle name="Comma 10" xfId="95" xr:uid="{00000000-0005-0000-0000-000018000000}"/>
    <cellStyle name="Comma 10 2" xfId="203" xr:uid="{00000000-0005-0000-0000-000019000000}"/>
    <cellStyle name="Comma 11" xfId="96" xr:uid="{00000000-0005-0000-0000-00001A000000}"/>
    <cellStyle name="Comma 11 2" xfId="204" xr:uid="{00000000-0005-0000-0000-00001B000000}"/>
    <cellStyle name="Comma 12" xfId="100" xr:uid="{00000000-0005-0000-0000-00001C000000}"/>
    <cellStyle name="Comma 12 2" xfId="205" xr:uid="{00000000-0005-0000-0000-00001D000000}"/>
    <cellStyle name="Comma 13" xfId="101" xr:uid="{00000000-0005-0000-0000-00001E000000}"/>
    <cellStyle name="Comma 13 2" xfId="206" xr:uid="{00000000-0005-0000-0000-00001F000000}"/>
    <cellStyle name="Comma 14" xfId="102" xr:uid="{00000000-0005-0000-0000-000020000000}"/>
    <cellStyle name="Comma 14 2" xfId="207" xr:uid="{00000000-0005-0000-0000-000021000000}"/>
    <cellStyle name="Comma 15" xfId="103" xr:uid="{00000000-0005-0000-0000-000022000000}"/>
    <cellStyle name="Comma 15 2" xfId="208" xr:uid="{00000000-0005-0000-0000-000023000000}"/>
    <cellStyle name="Comma 16" xfId="104" xr:uid="{00000000-0005-0000-0000-000024000000}"/>
    <cellStyle name="Comma 16 2" xfId="209" xr:uid="{00000000-0005-0000-0000-000025000000}"/>
    <cellStyle name="Comma 17" xfId="195" xr:uid="{00000000-0005-0000-0000-000026000000}"/>
    <cellStyle name="Comma 2" xfId="52" xr:uid="{00000000-0005-0000-0000-000027000000}"/>
    <cellStyle name="Comma 2 10" xfId="112" xr:uid="{00000000-0005-0000-0000-000028000000}"/>
    <cellStyle name="Comma 2 10 2" xfId="211" xr:uid="{00000000-0005-0000-0000-000029000000}"/>
    <cellStyle name="Comma 2 11" xfId="116" xr:uid="{00000000-0005-0000-0000-00002A000000}"/>
    <cellStyle name="Comma 2 11 2" xfId="212" xr:uid="{00000000-0005-0000-0000-00002B000000}"/>
    <cellStyle name="Comma 2 12" xfId="118" xr:uid="{00000000-0005-0000-0000-00002C000000}"/>
    <cellStyle name="Comma 2 12 2" xfId="213" xr:uid="{00000000-0005-0000-0000-00002D000000}"/>
    <cellStyle name="Comma 2 13" xfId="120" xr:uid="{00000000-0005-0000-0000-00002E000000}"/>
    <cellStyle name="Comma 2 13 2" xfId="214" xr:uid="{00000000-0005-0000-0000-00002F000000}"/>
    <cellStyle name="Comma 2 14" xfId="124" xr:uid="{00000000-0005-0000-0000-000030000000}"/>
    <cellStyle name="Comma 2 14 2" xfId="215" xr:uid="{00000000-0005-0000-0000-000031000000}"/>
    <cellStyle name="Comma 2 15" xfId="126" xr:uid="{00000000-0005-0000-0000-000032000000}"/>
    <cellStyle name="Comma 2 15 2" xfId="216" xr:uid="{00000000-0005-0000-0000-000033000000}"/>
    <cellStyle name="Comma 2 16" xfId="142" xr:uid="{00000000-0005-0000-0000-000034000000}"/>
    <cellStyle name="Comma 2 16 2" xfId="217" xr:uid="{00000000-0005-0000-0000-000035000000}"/>
    <cellStyle name="Comma 2 17" xfId="145" xr:uid="{00000000-0005-0000-0000-000036000000}"/>
    <cellStyle name="Comma 2 17 2" xfId="218" xr:uid="{00000000-0005-0000-0000-000037000000}"/>
    <cellStyle name="Comma 2 18" xfId="148" xr:uid="{00000000-0005-0000-0000-000038000000}"/>
    <cellStyle name="Comma 2 18 2" xfId="219" xr:uid="{00000000-0005-0000-0000-000039000000}"/>
    <cellStyle name="Comma 2 19" xfId="151" xr:uid="{00000000-0005-0000-0000-00003A000000}"/>
    <cellStyle name="Comma 2 19 2" xfId="220" xr:uid="{00000000-0005-0000-0000-00003B000000}"/>
    <cellStyle name="Comma 2 2" xfId="79" xr:uid="{00000000-0005-0000-0000-00003C000000}"/>
    <cellStyle name="Comma 2 2 2" xfId="99" xr:uid="{00000000-0005-0000-0000-00003D000000}"/>
    <cellStyle name="Comma 2 2 2 2" xfId="222" xr:uid="{00000000-0005-0000-0000-00003E000000}"/>
    <cellStyle name="Comma 2 2 3" xfId="221" xr:uid="{00000000-0005-0000-0000-00003F000000}"/>
    <cellStyle name="Comma 2 20" xfId="154" xr:uid="{00000000-0005-0000-0000-000040000000}"/>
    <cellStyle name="Comma 2 20 2" xfId="223" xr:uid="{00000000-0005-0000-0000-000041000000}"/>
    <cellStyle name="Comma 2 21" xfId="67" xr:uid="{00000000-0005-0000-0000-000042000000}"/>
    <cellStyle name="Comma 2 21 2" xfId="224" xr:uid="{00000000-0005-0000-0000-000043000000}"/>
    <cellStyle name="Comma 2 22" xfId="176" xr:uid="{00000000-0005-0000-0000-000044000000}"/>
    <cellStyle name="Comma 2 22 2" xfId="225" xr:uid="{00000000-0005-0000-0000-000045000000}"/>
    <cellStyle name="Comma 2 23" xfId="210" xr:uid="{00000000-0005-0000-0000-000046000000}"/>
    <cellStyle name="Comma 2 3" xfId="83" xr:uid="{00000000-0005-0000-0000-000047000000}"/>
    <cellStyle name="Comma 2 3 2" xfId="226" xr:uid="{00000000-0005-0000-0000-000048000000}"/>
    <cellStyle name="Comma 2 4" xfId="84" xr:uid="{00000000-0005-0000-0000-000049000000}"/>
    <cellStyle name="Comma 2 4 2" xfId="227" xr:uid="{00000000-0005-0000-0000-00004A000000}"/>
    <cellStyle name="Comma 2 5" xfId="82" xr:uid="{00000000-0005-0000-0000-00004B000000}"/>
    <cellStyle name="Comma 2 5 2" xfId="89" xr:uid="{00000000-0005-0000-0000-00004C000000}"/>
    <cellStyle name="Comma 2 5 2 2" xfId="229" xr:uid="{00000000-0005-0000-0000-00004D000000}"/>
    <cellStyle name="Comma 2 5 3" xfId="228" xr:uid="{00000000-0005-0000-0000-00004E000000}"/>
    <cellStyle name="Comma 2 6" xfId="92" xr:uid="{00000000-0005-0000-0000-00004F000000}"/>
    <cellStyle name="Comma 2 6 2" xfId="128" xr:uid="{00000000-0005-0000-0000-000050000000}"/>
    <cellStyle name="Comma 2 6 2 2" xfId="231" xr:uid="{00000000-0005-0000-0000-000051000000}"/>
    <cellStyle name="Comma 2 6 3" xfId="130" xr:uid="{00000000-0005-0000-0000-000052000000}"/>
    <cellStyle name="Comma 2 6 3 2" xfId="232" xr:uid="{00000000-0005-0000-0000-000053000000}"/>
    <cellStyle name="Comma 2 6 4" xfId="139" xr:uid="{00000000-0005-0000-0000-000054000000}"/>
    <cellStyle name="Comma 2 6 4 2" xfId="233" xr:uid="{00000000-0005-0000-0000-000055000000}"/>
    <cellStyle name="Comma 2 6 5" xfId="156" xr:uid="{00000000-0005-0000-0000-000056000000}"/>
    <cellStyle name="Comma 2 6 5 2" xfId="234" xr:uid="{00000000-0005-0000-0000-000057000000}"/>
    <cellStyle name="Comma 2 6 6" xfId="158" xr:uid="{00000000-0005-0000-0000-000058000000}"/>
    <cellStyle name="Comma 2 6 6 2" xfId="235" xr:uid="{00000000-0005-0000-0000-000059000000}"/>
    <cellStyle name="Comma 2 6 7" xfId="160" xr:uid="{00000000-0005-0000-0000-00005A000000}"/>
    <cellStyle name="Comma 2 6 7 2" xfId="236" xr:uid="{00000000-0005-0000-0000-00005B000000}"/>
    <cellStyle name="Comma 2 6 8" xfId="230" xr:uid="{00000000-0005-0000-0000-00005C000000}"/>
    <cellStyle name="Comma 2 7" xfId="106" xr:uid="{00000000-0005-0000-0000-00005D000000}"/>
    <cellStyle name="Comma 2 7 2" xfId="237" xr:uid="{00000000-0005-0000-0000-00005E000000}"/>
    <cellStyle name="Comma 2 8" xfId="108" xr:uid="{00000000-0005-0000-0000-00005F000000}"/>
    <cellStyle name="Comma 2 8 2" xfId="121" xr:uid="{00000000-0005-0000-0000-000060000000}"/>
    <cellStyle name="Comma 2 8 2 2" xfId="161" xr:uid="{00000000-0005-0000-0000-000061000000}"/>
    <cellStyle name="Comma 2 8 2 2 2" xfId="163" xr:uid="{00000000-0005-0000-0000-000062000000}"/>
    <cellStyle name="Comma 2 8 2 2 2 2" xfId="241" xr:uid="{00000000-0005-0000-0000-000063000000}"/>
    <cellStyle name="Comma 2 8 2 2 3" xfId="240" xr:uid="{00000000-0005-0000-0000-000064000000}"/>
    <cellStyle name="Comma 2 8 2 3" xfId="239" xr:uid="{00000000-0005-0000-0000-000065000000}"/>
    <cellStyle name="Comma 2 8 3" xfId="238" xr:uid="{00000000-0005-0000-0000-000066000000}"/>
    <cellStyle name="Comma 2 9" xfId="110" xr:uid="{00000000-0005-0000-0000-000067000000}"/>
    <cellStyle name="Comma 2 9 2" xfId="242" xr:uid="{00000000-0005-0000-0000-000068000000}"/>
    <cellStyle name="Comma 3" xfId="7" xr:uid="{00000000-0005-0000-0000-000069000000}"/>
    <cellStyle name="Comma 3 2" xfId="69" xr:uid="{00000000-0005-0000-0000-00006A000000}"/>
    <cellStyle name="Comma 3 2 2" xfId="244" xr:uid="{00000000-0005-0000-0000-00006B000000}"/>
    <cellStyle name="Comma 3 3" xfId="173" xr:uid="{00000000-0005-0000-0000-00006C000000}"/>
    <cellStyle name="Comma 3 3 2" xfId="245" xr:uid="{00000000-0005-0000-0000-00006D000000}"/>
    <cellStyle name="Comma 3 4" xfId="53" xr:uid="{00000000-0005-0000-0000-00006E000000}"/>
    <cellStyle name="Comma 3 5" xfId="243" xr:uid="{00000000-0005-0000-0000-00006F000000}"/>
    <cellStyle name="Comma 4" xfId="54" xr:uid="{00000000-0005-0000-0000-000070000000}"/>
    <cellStyle name="Comma 4 2" xfId="71" xr:uid="{00000000-0005-0000-0000-000071000000}"/>
    <cellStyle name="Comma 4 2 2" xfId="247" xr:uid="{00000000-0005-0000-0000-000072000000}"/>
    <cellStyle name="Comma 4 3" xfId="172" xr:uid="{00000000-0005-0000-0000-000073000000}"/>
    <cellStyle name="Comma 4 3 2" xfId="248" xr:uid="{00000000-0005-0000-0000-000074000000}"/>
    <cellStyle name="Comma 4 4" xfId="246" xr:uid="{00000000-0005-0000-0000-000075000000}"/>
    <cellStyle name="Comma 5" xfId="73" xr:uid="{00000000-0005-0000-0000-000076000000}"/>
    <cellStyle name="Comma 5 2" xfId="249" xr:uid="{00000000-0005-0000-0000-000077000000}"/>
    <cellStyle name="Comma 6" xfId="75" xr:uid="{00000000-0005-0000-0000-000078000000}"/>
    <cellStyle name="Comma 6 2" xfId="250" xr:uid="{00000000-0005-0000-0000-000079000000}"/>
    <cellStyle name="Comma 7" xfId="77" xr:uid="{00000000-0005-0000-0000-00007A000000}"/>
    <cellStyle name="Comma 7 2" xfId="251" xr:uid="{00000000-0005-0000-0000-00007B000000}"/>
    <cellStyle name="Comma 8" xfId="80" xr:uid="{00000000-0005-0000-0000-00007C000000}"/>
    <cellStyle name="Comma 8 2" xfId="252" xr:uid="{00000000-0005-0000-0000-00007D000000}"/>
    <cellStyle name="Comma 9" xfId="93" xr:uid="{00000000-0005-0000-0000-00007E000000}"/>
    <cellStyle name="Comma 9 2" xfId="253" xr:uid="{00000000-0005-0000-0000-00007F000000}"/>
    <cellStyle name="Explanatory Text" xfId="31" builtinId="53" customBuiltin="1"/>
    <cellStyle name="Good" xfId="22" builtinId="26" customBuiltin="1"/>
    <cellStyle name="Heading 1" xfId="18" builtinId="16" customBuiltin="1"/>
    <cellStyle name="Heading 2" xfId="19" builtinId="17" customBuiltin="1"/>
    <cellStyle name="Heading 3" xfId="20" builtinId="18" customBuiltin="1"/>
    <cellStyle name="Heading 4" xfId="21" builtinId="19" customBuiltin="1"/>
    <cellStyle name="Input" xfId="24" builtinId="20" customBuiltin="1"/>
    <cellStyle name="Linked Cell" xfId="27" builtinId="24" customBuiltin="1"/>
    <cellStyle name="Normal" xfId="0" builtinId="0"/>
    <cellStyle name="Normal 10" xfId="94" xr:uid="{00000000-0005-0000-0000-000080000000}"/>
    <cellStyle name="Normal 10 2" xfId="113" xr:uid="{00000000-0005-0000-0000-000081000000}"/>
    <cellStyle name="Normal 10 2 2" xfId="131" xr:uid="{00000000-0005-0000-0000-000082000000}"/>
    <cellStyle name="Normal 10 2 2 2" xfId="256" xr:uid="{00000000-0005-0000-0000-000083000000}"/>
    <cellStyle name="Normal 10 2 3" xfId="165" xr:uid="{00000000-0005-0000-0000-000084000000}"/>
    <cellStyle name="Normal 10 2 3 2" xfId="257" xr:uid="{00000000-0005-0000-0000-000085000000}"/>
    <cellStyle name="Normal 10 2 4" xfId="255" xr:uid="{00000000-0005-0000-0000-000086000000}"/>
    <cellStyle name="Normal 10 3" xfId="254" xr:uid="{00000000-0005-0000-0000-000087000000}"/>
    <cellStyle name="Normal 11" xfId="5" xr:uid="{00000000-0005-0000-0000-000088000000}"/>
    <cellStyle name="Normal 12" xfId="194" xr:uid="{00000000-0005-0000-0000-000089000000}"/>
    <cellStyle name="Normal 2" xfId="4" xr:uid="{00000000-0005-0000-0000-00008A000000}"/>
    <cellStyle name="Normal 2 2" xfId="66" xr:uid="{00000000-0005-0000-0000-00008B000000}"/>
    <cellStyle name="Normal 2 2 2" xfId="259" xr:uid="{00000000-0005-0000-0000-00008C000000}"/>
    <cellStyle name="Normal 2 3" xfId="2" xr:uid="{00000000-0005-0000-0000-00008D000000}"/>
    <cellStyle name="Normal 2 3 2" xfId="17" xr:uid="{00000000-0005-0000-0000-00008E000000}"/>
    <cellStyle name="Normal 2 3 3" xfId="170" xr:uid="{00000000-0005-0000-0000-00008F000000}"/>
    <cellStyle name="Normal 2 3 4" xfId="260" xr:uid="{00000000-0005-0000-0000-000090000000}"/>
    <cellStyle name="Normal 2 4" xfId="258" xr:uid="{00000000-0005-0000-0000-000091000000}"/>
    <cellStyle name="Normal 3" xfId="55" xr:uid="{00000000-0005-0000-0000-000092000000}"/>
    <cellStyle name="Normal 3 10" xfId="111" xr:uid="{00000000-0005-0000-0000-000093000000}"/>
    <cellStyle name="Normal 3 10 2" xfId="262" xr:uid="{00000000-0005-0000-0000-000094000000}"/>
    <cellStyle name="Normal 3 11" xfId="115" xr:uid="{00000000-0005-0000-0000-000095000000}"/>
    <cellStyle name="Normal 3 11 2" xfId="263" xr:uid="{00000000-0005-0000-0000-000096000000}"/>
    <cellStyle name="Normal 3 12" xfId="117" xr:uid="{00000000-0005-0000-0000-000097000000}"/>
    <cellStyle name="Normal 3 12 2" xfId="264" xr:uid="{00000000-0005-0000-0000-000098000000}"/>
    <cellStyle name="Normal 3 13" xfId="119" xr:uid="{00000000-0005-0000-0000-000099000000}"/>
    <cellStyle name="Normal 3 13 2" xfId="265" xr:uid="{00000000-0005-0000-0000-00009A000000}"/>
    <cellStyle name="Normal 3 14" xfId="123" xr:uid="{00000000-0005-0000-0000-00009B000000}"/>
    <cellStyle name="Normal 3 14 2" xfId="266" xr:uid="{00000000-0005-0000-0000-00009C000000}"/>
    <cellStyle name="Normal 3 15" xfId="125" xr:uid="{00000000-0005-0000-0000-00009D000000}"/>
    <cellStyle name="Normal 3 15 2" xfId="267" xr:uid="{00000000-0005-0000-0000-00009E000000}"/>
    <cellStyle name="Normal 3 16" xfId="140" xr:uid="{00000000-0005-0000-0000-00009F000000}"/>
    <cellStyle name="Normal 3 16 2" xfId="268" xr:uid="{00000000-0005-0000-0000-0000A0000000}"/>
    <cellStyle name="Normal 3 17" xfId="143" xr:uid="{00000000-0005-0000-0000-0000A1000000}"/>
    <cellStyle name="Normal 3 17 2" xfId="269" xr:uid="{00000000-0005-0000-0000-0000A2000000}"/>
    <cellStyle name="Normal 3 18" xfId="146" xr:uid="{00000000-0005-0000-0000-0000A3000000}"/>
    <cellStyle name="Normal 3 18 2" xfId="270" xr:uid="{00000000-0005-0000-0000-0000A4000000}"/>
    <cellStyle name="Normal 3 19" xfId="149" xr:uid="{00000000-0005-0000-0000-0000A5000000}"/>
    <cellStyle name="Normal 3 19 2" xfId="271" xr:uid="{00000000-0005-0000-0000-0000A6000000}"/>
    <cellStyle name="Normal 3 2" xfId="61" xr:uid="{00000000-0005-0000-0000-0000A7000000}"/>
    <cellStyle name="Normal 3 2 2" xfId="98" xr:uid="{00000000-0005-0000-0000-0000A8000000}"/>
    <cellStyle name="Normal 3 2 2 2" xfId="273" xr:uid="{00000000-0005-0000-0000-0000A9000000}"/>
    <cellStyle name="Normal 3 2 3" xfId="85" xr:uid="{00000000-0005-0000-0000-0000AA000000}"/>
    <cellStyle name="Normal 3 2 3 2" xfId="274" xr:uid="{00000000-0005-0000-0000-0000AB000000}"/>
    <cellStyle name="Normal 3 2 4" xfId="272" xr:uid="{00000000-0005-0000-0000-0000AC000000}"/>
    <cellStyle name="Normal 3 20" xfId="152" xr:uid="{00000000-0005-0000-0000-0000AD000000}"/>
    <cellStyle name="Normal 3 20 2" xfId="275" xr:uid="{00000000-0005-0000-0000-0000AE000000}"/>
    <cellStyle name="Normal 3 21" xfId="171" xr:uid="{00000000-0005-0000-0000-0000AF000000}"/>
    <cellStyle name="Normal 3 21 2" xfId="276" xr:uid="{00000000-0005-0000-0000-0000B0000000}"/>
    <cellStyle name="Normal 3 22" xfId="261" xr:uid="{00000000-0005-0000-0000-0000B1000000}"/>
    <cellStyle name="Normal 3 3" xfId="86" xr:uid="{00000000-0005-0000-0000-0000B2000000}"/>
    <cellStyle name="Normal 3 3 2" xfId="277" xr:uid="{00000000-0005-0000-0000-0000B3000000}"/>
    <cellStyle name="Normal 3 4" xfId="87" xr:uid="{00000000-0005-0000-0000-0000B4000000}"/>
    <cellStyle name="Normal 3 4 2" xfId="278" xr:uid="{00000000-0005-0000-0000-0000B5000000}"/>
    <cellStyle name="Normal 3 5" xfId="81" xr:uid="{00000000-0005-0000-0000-0000B6000000}"/>
    <cellStyle name="Normal 3 5 2" xfId="88" xr:uid="{00000000-0005-0000-0000-0000B7000000}"/>
    <cellStyle name="Normal 3 5 2 2" xfId="280" xr:uid="{00000000-0005-0000-0000-0000B8000000}"/>
    <cellStyle name="Normal 3 5 3" xfId="279" xr:uid="{00000000-0005-0000-0000-0000B9000000}"/>
    <cellStyle name="Normal 3 6" xfId="91" xr:uid="{00000000-0005-0000-0000-0000BA000000}"/>
    <cellStyle name="Normal 3 6 10" xfId="155" xr:uid="{00000000-0005-0000-0000-0000BB000000}"/>
    <cellStyle name="Normal 3 6 10 2" xfId="282" xr:uid="{00000000-0005-0000-0000-0000BC000000}"/>
    <cellStyle name="Normal 3 6 11" xfId="157" xr:uid="{00000000-0005-0000-0000-0000BD000000}"/>
    <cellStyle name="Normal 3 6 11 2" xfId="283" xr:uid="{00000000-0005-0000-0000-0000BE000000}"/>
    <cellStyle name="Normal 3 6 12" xfId="159" xr:uid="{00000000-0005-0000-0000-0000BF000000}"/>
    <cellStyle name="Normal 3 6 12 2" xfId="284" xr:uid="{00000000-0005-0000-0000-0000C0000000}"/>
    <cellStyle name="Normal 3 6 13" xfId="281" xr:uid="{00000000-0005-0000-0000-0000C1000000}"/>
    <cellStyle name="Normal 3 6 2" xfId="127" xr:uid="{00000000-0005-0000-0000-0000C2000000}"/>
    <cellStyle name="Normal 3 6 2 2" xfId="285" xr:uid="{00000000-0005-0000-0000-0000C3000000}"/>
    <cellStyle name="Normal 3 6 3" xfId="129" xr:uid="{00000000-0005-0000-0000-0000C4000000}"/>
    <cellStyle name="Normal 3 6 3 2" xfId="286" xr:uid="{00000000-0005-0000-0000-0000C5000000}"/>
    <cellStyle name="Normal 3 6 4" xfId="138" xr:uid="{00000000-0005-0000-0000-0000C6000000}"/>
    <cellStyle name="Normal 3 6 4 2" xfId="287" xr:uid="{00000000-0005-0000-0000-0000C7000000}"/>
    <cellStyle name="Normal 3 6 5" xfId="141" xr:uid="{00000000-0005-0000-0000-0000C8000000}"/>
    <cellStyle name="Normal 3 6 5 2" xfId="288" xr:uid="{00000000-0005-0000-0000-0000C9000000}"/>
    <cellStyle name="Normal 3 6 6" xfId="144" xr:uid="{00000000-0005-0000-0000-0000CA000000}"/>
    <cellStyle name="Normal 3 6 6 2" xfId="289" xr:uid="{00000000-0005-0000-0000-0000CB000000}"/>
    <cellStyle name="Normal 3 6 7" xfId="147" xr:uid="{00000000-0005-0000-0000-0000CC000000}"/>
    <cellStyle name="Normal 3 6 7 2" xfId="290" xr:uid="{00000000-0005-0000-0000-0000CD000000}"/>
    <cellStyle name="Normal 3 6 8" xfId="150" xr:uid="{00000000-0005-0000-0000-0000CE000000}"/>
    <cellStyle name="Normal 3 6 8 2" xfId="291" xr:uid="{00000000-0005-0000-0000-0000CF000000}"/>
    <cellStyle name="Normal 3 6 9" xfId="153" xr:uid="{00000000-0005-0000-0000-0000D0000000}"/>
    <cellStyle name="Normal 3 6 9 2" xfId="292" xr:uid="{00000000-0005-0000-0000-0000D1000000}"/>
    <cellStyle name="Normal 3 7" xfId="105" xr:uid="{00000000-0005-0000-0000-0000D2000000}"/>
    <cellStyle name="Normal 3 7 2" xfId="293" xr:uid="{00000000-0005-0000-0000-0000D3000000}"/>
    <cellStyle name="Normal 3 8" xfId="107" xr:uid="{00000000-0005-0000-0000-0000D4000000}"/>
    <cellStyle name="Normal 3 8 2" xfId="122" xr:uid="{00000000-0005-0000-0000-0000D5000000}"/>
    <cellStyle name="Normal 3 8 2 2" xfId="162" xr:uid="{00000000-0005-0000-0000-0000D6000000}"/>
    <cellStyle name="Normal 3 8 2 2 2" xfId="164" xr:uid="{00000000-0005-0000-0000-0000D7000000}"/>
    <cellStyle name="Normal 3 8 2 2 2 2" xfId="297" xr:uid="{00000000-0005-0000-0000-0000D8000000}"/>
    <cellStyle name="Normal 3 8 2 2 3" xfId="296" xr:uid="{00000000-0005-0000-0000-0000D9000000}"/>
    <cellStyle name="Normal 3 8 2 3" xfId="295" xr:uid="{00000000-0005-0000-0000-0000DA000000}"/>
    <cellStyle name="Normal 3 8 3" xfId="294" xr:uid="{00000000-0005-0000-0000-0000DB000000}"/>
    <cellStyle name="Normal 3 9" xfId="109" xr:uid="{00000000-0005-0000-0000-0000DC000000}"/>
    <cellStyle name="Normal 3 9 2" xfId="298" xr:uid="{00000000-0005-0000-0000-0000DD000000}"/>
    <cellStyle name="Normal 4" xfId="6" xr:uid="{00000000-0005-0000-0000-0000DE000000}"/>
    <cellStyle name="Normal 4 2" xfId="179" xr:uid="{00000000-0005-0000-0000-0000DF000000}"/>
    <cellStyle name="Normal 4 2 2" xfId="300" xr:uid="{00000000-0005-0000-0000-0000E0000000}"/>
    <cellStyle name="Normal 4 3" xfId="68" xr:uid="{00000000-0005-0000-0000-0000E1000000}"/>
    <cellStyle name="Normal 4 4" xfId="299" xr:uid="{00000000-0005-0000-0000-0000E2000000}"/>
    <cellStyle name="Normal 5" xfId="70" xr:uid="{00000000-0005-0000-0000-0000E3000000}"/>
    <cellStyle name="Normal 5 2" xfId="301" xr:uid="{00000000-0005-0000-0000-0000E4000000}"/>
    <cellStyle name="Normal 6" xfId="72" xr:uid="{00000000-0005-0000-0000-0000E5000000}"/>
    <cellStyle name="Normal 6 2" xfId="302" xr:uid="{00000000-0005-0000-0000-0000E6000000}"/>
    <cellStyle name="Normal 7" xfId="74" xr:uid="{00000000-0005-0000-0000-0000E7000000}"/>
    <cellStyle name="Normal 7 2" xfId="303" xr:uid="{00000000-0005-0000-0000-0000E8000000}"/>
    <cellStyle name="Normal 8" xfId="76" xr:uid="{00000000-0005-0000-0000-0000E9000000}"/>
    <cellStyle name="Normal 8 2" xfId="304" xr:uid="{00000000-0005-0000-0000-0000EA000000}"/>
    <cellStyle name="Normal 9" xfId="90" xr:uid="{00000000-0005-0000-0000-0000EB000000}"/>
    <cellStyle name="Normal 9 2" xfId="305" xr:uid="{00000000-0005-0000-0000-0000EC000000}"/>
    <cellStyle name="Note" xfId="30" builtinId="10" customBuiltin="1"/>
    <cellStyle name="Output" xfId="25" builtinId="21" customBuiltin="1"/>
    <cellStyle name="Percent 2" xfId="196" xr:uid="{00000000-0005-0000-0000-0000ED000000}"/>
    <cellStyle name="Total" xfId="32" builtinId="25" customBuiltin="1"/>
    <cellStyle name="Warning Text" xfId="29" builtinId="11" customBuiltin="1"/>
    <cellStyle name="เครื่องหมายจุลภาค 3" xfId="133" xr:uid="{00000000-0005-0000-0000-0000F2000000}"/>
    <cellStyle name="เครื่องหมายจุลภาค 3 2" xfId="169" xr:uid="{00000000-0005-0000-0000-0000F3000000}"/>
    <cellStyle name="เครื่องหมายจุลภาค 3 2 2" xfId="307" xr:uid="{00000000-0005-0000-0000-0000F4000000}"/>
    <cellStyle name="เครื่องหมายจุลภาค 3 3" xfId="306" xr:uid="{00000000-0005-0000-0000-0000F5000000}"/>
    <cellStyle name="เครื่องหมายจุลภาค 6" xfId="65" xr:uid="{00000000-0005-0000-0000-0000F6000000}"/>
    <cellStyle name="เครื่องหมายจุลภาค 6 2" xfId="177" xr:uid="{00000000-0005-0000-0000-0000F7000000}"/>
    <cellStyle name="เครื่องหมายจุลภาค 6 2 2" xfId="309" xr:uid="{00000000-0005-0000-0000-0000F8000000}"/>
    <cellStyle name="เครื่องหมายจุลภาค 6 3" xfId="308" xr:uid="{00000000-0005-0000-0000-0000F9000000}"/>
    <cellStyle name="จุลภาค 2" xfId="3" xr:uid="{00000000-0005-0000-0000-0000FA000000}"/>
    <cellStyle name="จุลภาค 2 2" xfId="13" xr:uid="{00000000-0005-0000-0000-0000FB000000}"/>
    <cellStyle name="จุลภาค 2 2 2" xfId="58" xr:uid="{00000000-0005-0000-0000-0000FC000000}"/>
    <cellStyle name="จุลภาค 2 2 3" xfId="190" xr:uid="{00000000-0005-0000-0000-0000FD000000}"/>
    <cellStyle name="จุลภาค 2 2 4" xfId="311" xr:uid="{00000000-0005-0000-0000-0000FE000000}"/>
    <cellStyle name="จุลภาค 2 3" xfId="11" xr:uid="{00000000-0005-0000-0000-0000FF000000}"/>
    <cellStyle name="จุลภาค 2 3 2" xfId="175" xr:uid="{00000000-0005-0000-0000-000000010000}"/>
    <cellStyle name="จุลภาค 2 3 2 2" xfId="313" xr:uid="{00000000-0005-0000-0000-000001010000}"/>
    <cellStyle name="จุลภาค 2 3 3" xfId="62" xr:uid="{00000000-0005-0000-0000-000002010000}"/>
    <cellStyle name="จุลภาค 2 3 4" xfId="191" xr:uid="{00000000-0005-0000-0000-000003010000}"/>
    <cellStyle name="จุลภาค 2 3 5" xfId="312" xr:uid="{00000000-0005-0000-0000-000004010000}"/>
    <cellStyle name="จุลภาค 2 4" xfId="78" xr:uid="{00000000-0005-0000-0000-000005010000}"/>
    <cellStyle name="จุลภาค 2 4 2" xfId="314" xr:uid="{00000000-0005-0000-0000-000006010000}"/>
    <cellStyle name="จุลภาค 2 5" xfId="178" xr:uid="{00000000-0005-0000-0000-000007010000}"/>
    <cellStyle name="จุลภาค 2 5 2" xfId="315" xr:uid="{00000000-0005-0000-0000-000008010000}"/>
    <cellStyle name="จุลภาค 2 6" xfId="57" xr:uid="{00000000-0005-0000-0000-000009010000}"/>
    <cellStyle name="จุลภาค 2 7" xfId="189" xr:uid="{00000000-0005-0000-0000-00000A010000}"/>
    <cellStyle name="จุลภาค 2 8" xfId="310" xr:uid="{00000000-0005-0000-0000-00000B010000}"/>
    <cellStyle name="จุลภาค 3" xfId="15" xr:uid="{00000000-0005-0000-0000-00000C010000}"/>
    <cellStyle name="จุลภาค 3 2" xfId="134" xr:uid="{00000000-0005-0000-0000-00000D010000}"/>
    <cellStyle name="จุลภาค 3 2 2" xfId="317" xr:uid="{00000000-0005-0000-0000-00000E010000}"/>
    <cellStyle name="จุลภาค 3 3" xfId="167" xr:uid="{00000000-0005-0000-0000-00000F010000}"/>
    <cellStyle name="จุลภาค 3 3 2" xfId="318" xr:uid="{00000000-0005-0000-0000-000010010000}"/>
    <cellStyle name="จุลภาค 3 4" xfId="59" xr:uid="{00000000-0005-0000-0000-000011010000}"/>
    <cellStyle name="จุลภาค 3 5" xfId="192" xr:uid="{00000000-0005-0000-0000-000012010000}"/>
    <cellStyle name="จุลภาค 3 6" xfId="316" xr:uid="{00000000-0005-0000-0000-000013010000}"/>
    <cellStyle name="จุลภาค 4" xfId="8" xr:uid="{00000000-0005-0000-0000-000014010000}"/>
    <cellStyle name="จุลภาค 4 2" xfId="174" xr:uid="{00000000-0005-0000-0000-000015010000}"/>
    <cellStyle name="จุลภาค 4 2 2" xfId="320" xr:uid="{00000000-0005-0000-0000-000016010000}"/>
    <cellStyle name="จุลภาค 4 3" xfId="60" xr:uid="{00000000-0005-0000-0000-000017010000}"/>
    <cellStyle name="จุลภาค 4 4" xfId="193" xr:uid="{00000000-0005-0000-0000-000018010000}"/>
    <cellStyle name="จุลภาค 4 5" xfId="319" xr:uid="{00000000-0005-0000-0000-000019010000}"/>
    <cellStyle name="จุลภาค 5" xfId="56" xr:uid="{00000000-0005-0000-0000-00001A010000}"/>
    <cellStyle name="จุลภาค 5 2" xfId="321" xr:uid="{00000000-0005-0000-0000-00001B010000}"/>
    <cellStyle name="จุลภาค 6" xfId="168" xr:uid="{00000000-0005-0000-0000-00001C010000}"/>
    <cellStyle name="จุลภาค 6 2" xfId="322" xr:uid="{00000000-0005-0000-0000-00001D010000}"/>
    <cellStyle name="จุลภาค 7" xfId="51" xr:uid="{00000000-0005-0000-0000-00001E010000}"/>
    <cellStyle name="จุลภาค 8" xfId="188" xr:uid="{00000000-0005-0000-0000-00001F010000}"/>
    <cellStyle name="ชื่อเรื่อง 2" xfId="180" xr:uid="{00000000-0005-0000-0000-000020010000}"/>
    <cellStyle name="ชื่อเรื่อง 2 2" xfId="323" xr:uid="{00000000-0005-0000-0000-000021010000}"/>
    <cellStyle name="ปกติ 2" xfId="9" xr:uid="{00000000-0005-0000-0000-000026010000}"/>
    <cellStyle name="ปกติ 2 2" xfId="12" xr:uid="{00000000-0005-0000-0000-000027010000}"/>
    <cellStyle name="ปกติ 2 2 2" xfId="135" xr:uid="{00000000-0005-0000-0000-000028010000}"/>
    <cellStyle name="ปกติ 2 2 2 2" xfId="326" xr:uid="{00000000-0005-0000-0000-000029010000}"/>
    <cellStyle name="ปกติ 2 2 3" xfId="325" xr:uid="{00000000-0005-0000-0000-00002A010000}"/>
    <cellStyle name="ปกติ 2 3" xfId="136" xr:uid="{00000000-0005-0000-0000-00002B010000}"/>
    <cellStyle name="ปกติ 2 3 2" xfId="327" xr:uid="{00000000-0005-0000-0000-00002C010000}"/>
    <cellStyle name="ปกติ 2 4" xfId="324" xr:uid="{00000000-0005-0000-0000-00002D010000}"/>
    <cellStyle name="ปกติ 3" xfId="10" xr:uid="{00000000-0005-0000-0000-00002E010000}"/>
    <cellStyle name="ปกติ 3 2" xfId="114" xr:uid="{00000000-0005-0000-0000-00002F010000}"/>
    <cellStyle name="ปกติ 3 2 2" xfId="132" xr:uid="{00000000-0005-0000-0000-000030010000}"/>
    <cellStyle name="ปกติ 3 2 2 2" xfId="166" xr:uid="{00000000-0005-0000-0000-000031010000}"/>
    <cellStyle name="ปกติ 3 2 2 2 2" xfId="331" xr:uid="{00000000-0005-0000-0000-000032010000}"/>
    <cellStyle name="ปกติ 3 2 2 3" xfId="330" xr:uid="{00000000-0005-0000-0000-000033010000}"/>
    <cellStyle name="ปกติ 3 2 3" xfId="329" xr:uid="{00000000-0005-0000-0000-000034010000}"/>
    <cellStyle name="ปกติ 3 3" xfId="137" xr:uid="{00000000-0005-0000-0000-000035010000}"/>
    <cellStyle name="ปกติ 3 3 2" xfId="332" xr:uid="{00000000-0005-0000-0000-000036010000}"/>
    <cellStyle name="ปกติ 3 4" xfId="97" xr:uid="{00000000-0005-0000-0000-000037010000}"/>
    <cellStyle name="ปกติ 3 4 2" xfId="333" xr:uid="{00000000-0005-0000-0000-000038010000}"/>
    <cellStyle name="ปกติ 3 5" xfId="328" xr:uid="{00000000-0005-0000-0000-000039010000}"/>
    <cellStyle name="ปกติ 4" xfId="14" xr:uid="{00000000-0005-0000-0000-00003A010000}"/>
    <cellStyle name="ปกติ 4 2" xfId="334" xr:uid="{00000000-0005-0000-0000-00003B010000}"/>
    <cellStyle name="ปกติ 5" xfId="339" xr:uid="{2C78F99F-591E-42E8-986A-82667C96E5EE}"/>
    <cellStyle name="ปกติ 6" xfId="63" xr:uid="{00000000-0005-0000-0000-00003C010000}"/>
    <cellStyle name="ปกติ 6 2" xfId="335" xr:uid="{00000000-0005-0000-0000-00003D010000}"/>
    <cellStyle name="ปกติ 7" xfId="64" xr:uid="{00000000-0005-0000-0000-00003E010000}"/>
    <cellStyle name="ปกติ 7 2" xfId="336" xr:uid="{00000000-0005-0000-0000-00003F010000}"/>
    <cellStyle name="ปานกลาง 2" xfId="181" xr:uid="{00000000-0005-0000-0000-000041010000}"/>
    <cellStyle name="ปานกลาง 2 2" xfId="337" xr:uid="{00000000-0005-0000-0000-000042010000}"/>
    <cellStyle name="เปอร์เซ็นต์ 2" xfId="16" xr:uid="{00000000-0005-0000-0000-000043010000}"/>
    <cellStyle name="เปอร์เซ็นต์ 2 2" xfId="338" xr:uid="{00000000-0005-0000-0000-000044010000}"/>
  </cellStyles>
  <dxfs count="1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theme="1"/>
      </font>
    </dxf>
    <dxf>
      <font>
        <color rgb="FFFF0000"/>
      </font>
    </dxf>
    <dxf>
      <font>
        <b val="0"/>
        <i val="0"/>
        <strike val="0"/>
        <color theme="1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color rgb="FFFF0000"/>
      </font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00CC00"/>
      <color rgb="FFFFCCCC"/>
      <color rgb="FFFEC2C2"/>
      <color rgb="FFEDBDC4"/>
      <color rgb="FFE6A2AC"/>
      <color rgb="FFEBC3D1"/>
      <color rgb="FFE99C8F"/>
      <color rgb="FFE79081"/>
      <color rgb="FFE48272"/>
      <color rgb="FFCB75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24"/>
  <sheetViews>
    <sheetView zoomScale="110" zoomScaleNormal="110" workbookViewId="0">
      <pane xSplit="4" ySplit="2" topLeftCell="J3" activePane="bottomRight" state="frozen"/>
      <selection pane="topRight" activeCell="E1" sqref="E1"/>
      <selection pane="bottomLeft" activeCell="A3" sqref="A3"/>
      <selection pane="bottomRight" activeCell="J2" sqref="J2"/>
    </sheetView>
  </sheetViews>
  <sheetFormatPr defaultColWidth="8.69921875" defaultRowHeight="13.2" x14ac:dyDescent="0.25"/>
  <cols>
    <col min="1" max="1" width="8.69921875" style="5"/>
    <col min="2" max="2" width="9.5" style="5" bestFit="1" customWidth="1"/>
    <col min="3" max="3" width="7.69921875" style="5" bestFit="1" customWidth="1"/>
    <col min="4" max="4" width="17.3984375" style="6" bestFit="1" customWidth="1"/>
    <col min="5" max="5" width="22" style="5" bestFit="1" customWidth="1"/>
    <col min="6" max="6" width="23.19921875" style="5" bestFit="1" customWidth="1"/>
    <col min="7" max="7" width="22.5" style="5" bestFit="1" customWidth="1"/>
    <col min="8" max="8" width="19.19921875" style="7" bestFit="1" customWidth="1"/>
    <col min="9" max="9" width="21.3984375" style="9" bestFit="1" customWidth="1"/>
    <col min="10" max="10" width="22.3984375" style="11" bestFit="1" customWidth="1"/>
    <col min="11" max="11" width="19.5" style="11" bestFit="1" customWidth="1"/>
    <col min="12" max="12" width="23" style="11" bestFit="1" customWidth="1"/>
    <col min="13" max="13" width="23.19921875" style="5" bestFit="1" customWidth="1"/>
    <col min="14" max="14" width="24.8984375" style="11" bestFit="1" customWidth="1"/>
    <col min="15" max="15" width="23.5" style="11" bestFit="1" customWidth="1"/>
    <col min="16" max="16" width="19.19921875" style="11" bestFit="1" customWidth="1"/>
    <col min="17" max="17" width="21.69921875" style="11" bestFit="1" customWidth="1"/>
    <col min="18" max="18" width="22" style="11" bestFit="1" customWidth="1"/>
    <col min="19" max="19" width="21.5" style="11" bestFit="1" customWidth="1"/>
    <col min="20" max="20" width="17.3984375" style="5" bestFit="1" customWidth="1"/>
    <col min="21" max="21" width="22" style="5" bestFit="1" customWidth="1"/>
    <col min="22" max="22" width="28.19921875" style="5" bestFit="1" customWidth="1"/>
    <col min="23" max="23" width="13.69921875" style="109" bestFit="1" customWidth="1"/>
    <col min="24" max="24" width="69.5" style="7" bestFit="1" customWidth="1"/>
    <col min="25" max="16384" width="8.69921875" style="4"/>
  </cols>
  <sheetData>
    <row r="1" spans="1:24" s="3" customFormat="1" ht="26.4" x14ac:dyDescent="0.25">
      <c r="A1" s="1"/>
      <c r="B1" s="1"/>
      <c r="C1" s="1"/>
      <c r="D1" s="1"/>
      <c r="E1" s="2" t="s">
        <v>59</v>
      </c>
      <c r="F1" s="2" t="s">
        <v>60</v>
      </c>
      <c r="G1" s="2" t="s">
        <v>61</v>
      </c>
      <c r="H1" s="2" t="s">
        <v>62</v>
      </c>
      <c r="I1" s="8" t="s">
        <v>63</v>
      </c>
      <c r="J1" s="10" t="s">
        <v>64</v>
      </c>
      <c r="K1" s="10" t="s">
        <v>65</v>
      </c>
      <c r="L1" s="10" t="s">
        <v>66</v>
      </c>
      <c r="M1" s="2"/>
      <c r="N1" s="10" t="s">
        <v>67</v>
      </c>
      <c r="O1" s="10" t="s">
        <v>68</v>
      </c>
      <c r="P1" s="10" t="s">
        <v>69</v>
      </c>
      <c r="Q1" s="10" t="s">
        <v>70</v>
      </c>
      <c r="R1" s="12" t="s">
        <v>71</v>
      </c>
      <c r="S1" s="10" t="s">
        <v>72</v>
      </c>
      <c r="T1" s="2" t="s">
        <v>73</v>
      </c>
      <c r="U1" s="2" t="s">
        <v>74</v>
      </c>
      <c r="V1" s="2" t="s">
        <v>75</v>
      </c>
      <c r="W1" s="2"/>
      <c r="X1" s="2"/>
    </row>
    <row r="2" spans="1:24" s="19" customFormat="1" ht="45.6" x14ac:dyDescent="0.25">
      <c r="A2" s="13" t="s">
        <v>0</v>
      </c>
      <c r="B2" s="13" t="s">
        <v>1</v>
      </c>
      <c r="C2" s="13" t="s">
        <v>2</v>
      </c>
      <c r="D2" s="13" t="s">
        <v>3</v>
      </c>
      <c r="E2" s="14" t="s">
        <v>84</v>
      </c>
      <c r="F2" s="14" t="s">
        <v>85</v>
      </c>
      <c r="G2" s="14" t="s">
        <v>86</v>
      </c>
      <c r="H2" s="14" t="s">
        <v>37</v>
      </c>
      <c r="I2" s="15" t="s">
        <v>38</v>
      </c>
      <c r="J2" s="16" t="s">
        <v>285</v>
      </c>
      <c r="K2" s="16" t="s">
        <v>39</v>
      </c>
      <c r="L2" s="16" t="s">
        <v>40</v>
      </c>
      <c r="M2" s="14" t="s">
        <v>41</v>
      </c>
      <c r="N2" s="16" t="s">
        <v>87</v>
      </c>
      <c r="O2" s="16" t="s">
        <v>88</v>
      </c>
      <c r="P2" s="16" t="s">
        <v>42</v>
      </c>
      <c r="Q2" s="16" t="s">
        <v>43</v>
      </c>
      <c r="R2" s="16" t="s">
        <v>44</v>
      </c>
      <c r="S2" s="16" t="s">
        <v>45</v>
      </c>
      <c r="T2" s="14" t="s">
        <v>46</v>
      </c>
      <c r="U2" s="14" t="s">
        <v>47</v>
      </c>
      <c r="V2" s="14" t="s">
        <v>48</v>
      </c>
      <c r="W2" s="17" t="s">
        <v>49</v>
      </c>
      <c r="X2" s="18" t="s">
        <v>50</v>
      </c>
    </row>
    <row r="3" spans="1:24" s="28" customFormat="1" ht="11.4" x14ac:dyDescent="0.2">
      <c r="A3" s="20">
        <v>1</v>
      </c>
      <c r="B3" s="20" t="s">
        <v>4</v>
      </c>
      <c r="C3" s="37" t="s">
        <v>5</v>
      </c>
      <c r="D3" s="22" t="s">
        <v>112</v>
      </c>
      <c r="E3" s="96">
        <v>3489113669.6100006</v>
      </c>
      <c r="F3" s="96">
        <v>3341400000</v>
      </c>
      <c r="G3" s="96">
        <v>147713669.61000061</v>
      </c>
      <c r="H3" s="94" t="s">
        <v>55</v>
      </c>
      <c r="I3" s="113">
        <v>29542733.930000003</v>
      </c>
      <c r="J3" s="113">
        <v>160999000</v>
      </c>
      <c r="K3" s="113">
        <v>108.99397491449223</v>
      </c>
      <c r="L3" s="113">
        <v>-131456266.06999999</v>
      </c>
      <c r="M3" s="122" t="s">
        <v>286</v>
      </c>
      <c r="N3" s="116">
        <v>1358335715.8099995</v>
      </c>
      <c r="O3" s="116">
        <v>4228778.3199999928</v>
      </c>
      <c r="P3" s="117">
        <v>280816666.66666669</v>
      </c>
      <c r="Q3" s="117">
        <v>4.8295992762775235</v>
      </c>
      <c r="R3" s="117">
        <v>1203814970.0999999</v>
      </c>
      <c r="S3" s="113">
        <v>4.2868359075316036</v>
      </c>
      <c r="T3" s="24" t="s">
        <v>53</v>
      </c>
      <c r="U3" s="24" t="s">
        <v>52</v>
      </c>
      <c r="V3" s="25" t="s">
        <v>53</v>
      </c>
      <c r="W3" s="110">
        <v>3</v>
      </c>
      <c r="X3" s="99" t="s">
        <v>57</v>
      </c>
    </row>
    <row r="4" spans="1:24" s="28" customFormat="1" ht="11.4" x14ac:dyDescent="0.2">
      <c r="A4" s="20">
        <v>2</v>
      </c>
      <c r="B4" s="20" t="s">
        <v>4</v>
      </c>
      <c r="C4" s="37" t="s">
        <v>6</v>
      </c>
      <c r="D4" s="21" t="s">
        <v>113</v>
      </c>
      <c r="E4" s="96">
        <v>672368050</v>
      </c>
      <c r="F4" s="96">
        <v>671521481.15999985</v>
      </c>
      <c r="G4" s="96">
        <v>846568.84000015259</v>
      </c>
      <c r="H4" s="94" t="s">
        <v>55</v>
      </c>
      <c r="I4" s="113">
        <v>169313.77000000002</v>
      </c>
      <c r="J4" s="113">
        <v>17316175</v>
      </c>
      <c r="K4" s="113">
        <v>2045.4538581879387</v>
      </c>
      <c r="L4" s="113">
        <v>-17146861.23</v>
      </c>
      <c r="M4" s="122" t="s">
        <v>286</v>
      </c>
      <c r="N4" s="116">
        <v>110701256.12</v>
      </c>
      <c r="O4" s="116">
        <v>-79565275.859999999</v>
      </c>
      <c r="P4" s="117">
        <v>57336724.058083348</v>
      </c>
      <c r="Q4" s="117">
        <v>1.9307216786200974</v>
      </c>
      <c r="R4" s="117">
        <v>93476995.129999995</v>
      </c>
      <c r="S4" s="113">
        <v>1.6303162879571873</v>
      </c>
      <c r="T4" s="24" t="s">
        <v>53</v>
      </c>
      <c r="U4" s="24" t="s">
        <v>52</v>
      </c>
      <c r="V4" s="25" t="s">
        <v>53</v>
      </c>
      <c r="W4" s="110">
        <v>3</v>
      </c>
      <c r="X4" s="99" t="s">
        <v>57</v>
      </c>
    </row>
    <row r="5" spans="1:24" s="28" customFormat="1" ht="11.4" x14ac:dyDescent="0.2">
      <c r="A5" s="29">
        <v>3</v>
      </c>
      <c r="B5" s="20" t="s">
        <v>4</v>
      </c>
      <c r="C5" s="37" t="s">
        <v>7</v>
      </c>
      <c r="D5" s="21" t="s">
        <v>114</v>
      </c>
      <c r="E5" s="96">
        <v>163676336.69</v>
      </c>
      <c r="F5" s="96">
        <v>149393867.69999999</v>
      </c>
      <c r="G5" s="96">
        <v>14282468.99000001</v>
      </c>
      <c r="H5" s="94" t="s">
        <v>55</v>
      </c>
      <c r="I5" s="113">
        <v>2856493.8</v>
      </c>
      <c r="J5" s="113">
        <v>14986347.84</v>
      </c>
      <c r="K5" s="113">
        <v>104.9282715088884</v>
      </c>
      <c r="L5" s="113">
        <v>-12129854.039999999</v>
      </c>
      <c r="M5" s="122" t="s">
        <v>286</v>
      </c>
      <c r="N5" s="116">
        <v>38260741.610000007</v>
      </c>
      <c r="O5" s="116">
        <v>16548316.710000001</v>
      </c>
      <c r="P5" s="117">
        <v>12646787.583333334</v>
      </c>
      <c r="Q5" s="117">
        <v>3.0253328252640386</v>
      </c>
      <c r="R5" s="117">
        <v>31280692.34</v>
      </c>
      <c r="S5" s="113">
        <v>2.4734101157216792</v>
      </c>
      <c r="T5" s="24" t="s">
        <v>53</v>
      </c>
      <c r="U5" s="24" t="s">
        <v>52</v>
      </c>
      <c r="V5" s="25" t="s">
        <v>53</v>
      </c>
      <c r="W5" s="110">
        <v>3</v>
      </c>
      <c r="X5" s="99" t="s">
        <v>57</v>
      </c>
    </row>
    <row r="6" spans="1:24" s="28" customFormat="1" ht="11.4" x14ac:dyDescent="0.2">
      <c r="A6" s="20">
        <v>4</v>
      </c>
      <c r="B6" s="20" t="s">
        <v>4</v>
      </c>
      <c r="C6" s="37" t="s">
        <v>8</v>
      </c>
      <c r="D6" s="21" t="s">
        <v>115</v>
      </c>
      <c r="E6" s="96">
        <v>266987938.91</v>
      </c>
      <c r="F6" s="96">
        <v>248484848.13</v>
      </c>
      <c r="G6" s="96">
        <v>18503090.780000001</v>
      </c>
      <c r="H6" s="94" t="s">
        <v>55</v>
      </c>
      <c r="I6" s="113">
        <v>3700618.1599999997</v>
      </c>
      <c r="J6" s="113">
        <v>2649077.9700000002</v>
      </c>
      <c r="K6" s="113">
        <v>14.316948457407936</v>
      </c>
      <c r="L6" s="113">
        <v>1051540.1899999995</v>
      </c>
      <c r="M6" s="122" t="s">
        <v>287</v>
      </c>
      <c r="N6" s="116">
        <v>28798631.949999999</v>
      </c>
      <c r="O6" s="116">
        <v>-19389548.899999995</v>
      </c>
      <c r="P6" s="117">
        <v>20130433.150000002</v>
      </c>
      <c r="Q6" s="117">
        <v>1.430601703172989</v>
      </c>
      <c r="R6" s="117">
        <v>27507434.710000001</v>
      </c>
      <c r="S6" s="113">
        <v>1.3664601504116169</v>
      </c>
      <c r="T6" s="24" t="s">
        <v>53</v>
      </c>
      <c r="U6" s="24" t="s">
        <v>53</v>
      </c>
      <c r="V6" s="25" t="s">
        <v>53</v>
      </c>
      <c r="W6" s="110">
        <v>1</v>
      </c>
      <c r="X6" s="99" t="s">
        <v>104</v>
      </c>
    </row>
    <row r="7" spans="1:24" s="28" customFormat="1" ht="11.4" x14ac:dyDescent="0.2">
      <c r="A7" s="20">
        <v>5</v>
      </c>
      <c r="B7" s="20" t="s">
        <v>4</v>
      </c>
      <c r="C7" s="37" t="s">
        <v>9</v>
      </c>
      <c r="D7" s="21" t="s">
        <v>116</v>
      </c>
      <c r="E7" s="96">
        <v>192186589.92000002</v>
      </c>
      <c r="F7" s="96">
        <v>170498286.35999998</v>
      </c>
      <c r="G7" s="96">
        <v>21688303.560000032</v>
      </c>
      <c r="H7" s="94" t="s">
        <v>55</v>
      </c>
      <c r="I7" s="114">
        <v>4337660.72</v>
      </c>
      <c r="J7" s="113">
        <v>1834452</v>
      </c>
      <c r="K7" s="113">
        <v>8.4582549064985386</v>
      </c>
      <c r="L7" s="113">
        <v>2503208.7199999997</v>
      </c>
      <c r="M7" s="122" t="s">
        <v>287</v>
      </c>
      <c r="N7" s="116">
        <v>-702019.53000000492</v>
      </c>
      <c r="O7" s="116">
        <v>-26239751.850000013</v>
      </c>
      <c r="P7" s="117">
        <v>14089482.466308333</v>
      </c>
      <c r="Q7" s="117">
        <v>-4.9825785416796803E-2</v>
      </c>
      <c r="R7" s="117">
        <v>-1474714.07</v>
      </c>
      <c r="S7" s="113">
        <v>-0.1046677245616672</v>
      </c>
      <c r="T7" s="24" t="s">
        <v>53</v>
      </c>
      <c r="U7" s="24" t="s">
        <v>53</v>
      </c>
      <c r="V7" s="25" t="s">
        <v>52</v>
      </c>
      <c r="W7" s="110">
        <v>2</v>
      </c>
      <c r="X7" s="27" t="s">
        <v>56</v>
      </c>
    </row>
    <row r="8" spans="1:24" s="28" customFormat="1" ht="11.4" x14ac:dyDescent="0.2">
      <c r="A8" s="29">
        <v>6</v>
      </c>
      <c r="B8" s="20" t="s">
        <v>4</v>
      </c>
      <c r="C8" s="37" t="s">
        <v>10</v>
      </c>
      <c r="D8" s="21" t="s">
        <v>117</v>
      </c>
      <c r="E8" s="96">
        <v>187560400</v>
      </c>
      <c r="F8" s="96">
        <v>176391883.66</v>
      </c>
      <c r="G8" s="96">
        <v>11168516.340000004</v>
      </c>
      <c r="H8" s="94" t="s">
        <v>55</v>
      </c>
      <c r="I8" s="114">
        <v>2233703.2699999996</v>
      </c>
      <c r="J8" s="114">
        <v>2233703.27</v>
      </c>
      <c r="K8" s="113">
        <v>20.000000017907478</v>
      </c>
      <c r="L8" s="113">
        <v>0</v>
      </c>
      <c r="M8" s="122" t="s">
        <v>287</v>
      </c>
      <c r="N8" s="116">
        <v>8893539.1600000076</v>
      </c>
      <c r="O8" s="116">
        <v>-13682743.850000001</v>
      </c>
      <c r="P8" s="117">
        <v>14770000</v>
      </c>
      <c r="Q8" s="117">
        <v>0.60213535274204466</v>
      </c>
      <c r="R8" s="117">
        <v>8893539.1600000001</v>
      </c>
      <c r="S8" s="113">
        <v>0.60213535274204466</v>
      </c>
      <c r="T8" s="24" t="s">
        <v>53</v>
      </c>
      <c r="U8" s="24" t="s">
        <v>53</v>
      </c>
      <c r="V8" s="25" t="s">
        <v>52</v>
      </c>
      <c r="W8" s="110">
        <v>2</v>
      </c>
      <c r="X8" s="27" t="s">
        <v>56</v>
      </c>
    </row>
    <row r="9" spans="1:24" s="28" customFormat="1" ht="11.4" x14ac:dyDescent="0.2">
      <c r="A9" s="20">
        <v>7</v>
      </c>
      <c r="B9" s="20" t="s">
        <v>4</v>
      </c>
      <c r="C9" s="37" t="s">
        <v>11</v>
      </c>
      <c r="D9" s="22" t="s">
        <v>118</v>
      </c>
      <c r="E9" s="96">
        <v>99565673.620000005</v>
      </c>
      <c r="F9" s="96">
        <v>93566002.940000013</v>
      </c>
      <c r="G9" s="96">
        <v>5999670.6799999923</v>
      </c>
      <c r="H9" s="94" t="s">
        <v>55</v>
      </c>
      <c r="I9" s="114">
        <v>1199934.1399999999</v>
      </c>
      <c r="J9" s="113">
        <v>5681195.25</v>
      </c>
      <c r="K9" s="113">
        <v>94.691784816429418</v>
      </c>
      <c r="L9" s="113">
        <v>-4481261.1100000003</v>
      </c>
      <c r="M9" s="122" t="s">
        <v>286</v>
      </c>
      <c r="N9" s="116">
        <v>-1982833.6999999988</v>
      </c>
      <c r="O9" s="116">
        <v>-12011431.749999993</v>
      </c>
      <c r="P9" s="117">
        <v>7734111</v>
      </c>
      <c r="Q9" s="117">
        <v>-0.25637512831145037</v>
      </c>
      <c r="R9" s="117">
        <v>-5533954.7000000002</v>
      </c>
      <c r="S9" s="113">
        <v>-0.71552563701245042</v>
      </c>
      <c r="T9" s="24" t="s">
        <v>53</v>
      </c>
      <c r="U9" s="24" t="s">
        <v>52</v>
      </c>
      <c r="V9" s="25" t="s">
        <v>52</v>
      </c>
      <c r="W9" s="110">
        <v>4</v>
      </c>
      <c r="X9" s="27" t="s">
        <v>76</v>
      </c>
    </row>
    <row r="10" spans="1:24" s="28" customFormat="1" ht="11.4" x14ac:dyDescent="0.2">
      <c r="A10" s="20">
        <v>8</v>
      </c>
      <c r="B10" s="20" t="s">
        <v>4</v>
      </c>
      <c r="C10" s="37" t="s">
        <v>12</v>
      </c>
      <c r="D10" s="21" t="s">
        <v>119</v>
      </c>
      <c r="E10" s="96">
        <v>705212430</v>
      </c>
      <c r="F10" s="96">
        <v>698962648</v>
      </c>
      <c r="G10" s="96">
        <v>6249782</v>
      </c>
      <c r="H10" s="94" t="s">
        <v>55</v>
      </c>
      <c r="I10" s="114">
        <v>1249956.3999999999</v>
      </c>
      <c r="J10" s="113">
        <v>6765093.4299999997</v>
      </c>
      <c r="K10" s="113">
        <v>108.24527047503416</v>
      </c>
      <c r="L10" s="113">
        <v>-5515137.0299999993</v>
      </c>
      <c r="M10" s="122" t="s">
        <v>286</v>
      </c>
      <c r="N10" s="116">
        <v>84407007.509999871</v>
      </c>
      <c r="O10" s="116">
        <v>-178362328.33000004</v>
      </c>
      <c r="P10" s="117">
        <v>58367942.75</v>
      </c>
      <c r="Q10" s="117">
        <v>1.4461192828318385</v>
      </c>
      <c r="R10" s="117">
        <v>82014355.459999815</v>
      </c>
      <c r="S10" s="113">
        <v>1.4051267116143102</v>
      </c>
      <c r="T10" s="24" t="s">
        <v>53</v>
      </c>
      <c r="U10" s="24" t="s">
        <v>52</v>
      </c>
      <c r="V10" s="25" t="s">
        <v>53</v>
      </c>
      <c r="W10" s="110">
        <v>3</v>
      </c>
      <c r="X10" s="99" t="s">
        <v>57</v>
      </c>
    </row>
    <row r="11" spans="1:24" s="28" customFormat="1" ht="11.4" x14ac:dyDescent="0.2">
      <c r="A11" s="29">
        <v>9</v>
      </c>
      <c r="B11" s="20" t="s">
        <v>4</v>
      </c>
      <c r="C11" s="37" t="s">
        <v>13</v>
      </c>
      <c r="D11" s="21" t="s">
        <v>120</v>
      </c>
      <c r="E11" s="96">
        <v>231773621.50999999</v>
      </c>
      <c r="F11" s="96">
        <v>219301521.48999998</v>
      </c>
      <c r="G11" s="96">
        <v>12472100.020000011</v>
      </c>
      <c r="H11" s="94" t="s">
        <v>55</v>
      </c>
      <c r="I11" s="114">
        <v>2494420.0099999998</v>
      </c>
      <c r="J11" s="113">
        <v>2465608.12</v>
      </c>
      <c r="K11" s="113">
        <v>19.768989312515135</v>
      </c>
      <c r="L11" s="113">
        <v>28811.889999999665</v>
      </c>
      <c r="M11" s="122" t="s">
        <v>287</v>
      </c>
      <c r="N11" s="116">
        <v>7804589.4800000237</v>
      </c>
      <c r="O11" s="116">
        <v>-40883752.779999986</v>
      </c>
      <c r="P11" s="117">
        <v>19463961.149999999</v>
      </c>
      <c r="Q11" s="117">
        <v>0.4</v>
      </c>
      <c r="R11" s="117">
        <v>5403728.8099999996</v>
      </c>
      <c r="S11" s="113">
        <v>0.27762739394904723</v>
      </c>
      <c r="T11" s="24" t="s">
        <v>53</v>
      </c>
      <c r="U11" s="24" t="s">
        <v>53</v>
      </c>
      <c r="V11" s="25" t="s">
        <v>52</v>
      </c>
      <c r="W11" s="110">
        <v>2</v>
      </c>
      <c r="X11" s="27" t="s">
        <v>56</v>
      </c>
    </row>
    <row r="12" spans="1:24" s="28" customFormat="1" ht="11.4" x14ac:dyDescent="0.2">
      <c r="A12" s="20">
        <v>10</v>
      </c>
      <c r="B12" s="20" t="s">
        <v>4</v>
      </c>
      <c r="C12" s="37" t="s">
        <v>14</v>
      </c>
      <c r="D12" s="21" t="s">
        <v>121</v>
      </c>
      <c r="E12" s="97">
        <v>144747449.88999999</v>
      </c>
      <c r="F12" s="97">
        <v>123752735.04000001</v>
      </c>
      <c r="G12" s="96">
        <v>20994714.849999979</v>
      </c>
      <c r="H12" s="94" t="s">
        <v>55</v>
      </c>
      <c r="I12" s="114">
        <v>4198942.97</v>
      </c>
      <c r="J12" s="113">
        <v>244900</v>
      </c>
      <c r="K12" s="113">
        <v>1.1664840496750077</v>
      </c>
      <c r="L12" s="113">
        <v>3954042.9699999997</v>
      </c>
      <c r="M12" s="122" t="s">
        <v>287</v>
      </c>
      <c r="N12" s="116">
        <v>-5287473.6600000011</v>
      </c>
      <c r="O12" s="116">
        <v>-27397425.600000001</v>
      </c>
      <c r="P12" s="117">
        <v>10023979.586666668</v>
      </c>
      <c r="Q12" s="117">
        <v>-0.52748248480404925</v>
      </c>
      <c r="R12" s="117">
        <v>-5524876.0099999998</v>
      </c>
      <c r="S12" s="113">
        <v>-0.55116592788645324</v>
      </c>
      <c r="T12" s="24" t="s">
        <v>53</v>
      </c>
      <c r="U12" s="24" t="s">
        <v>53</v>
      </c>
      <c r="V12" s="25" t="s">
        <v>52</v>
      </c>
      <c r="W12" s="110">
        <v>2</v>
      </c>
      <c r="X12" s="27" t="s">
        <v>56</v>
      </c>
    </row>
    <row r="13" spans="1:24" s="28" customFormat="1" ht="11.4" x14ac:dyDescent="0.2">
      <c r="A13" s="20">
        <v>11</v>
      </c>
      <c r="B13" s="20" t="s">
        <v>4</v>
      </c>
      <c r="C13" s="37" t="s">
        <v>15</v>
      </c>
      <c r="D13" s="21" t="s">
        <v>289</v>
      </c>
      <c r="E13" s="96">
        <v>606329840</v>
      </c>
      <c r="F13" s="96">
        <v>594090050</v>
      </c>
      <c r="G13" s="96">
        <v>12239790</v>
      </c>
      <c r="H13" s="94" t="s">
        <v>55</v>
      </c>
      <c r="I13" s="114">
        <v>2447958</v>
      </c>
      <c r="J13" s="113">
        <v>5297800</v>
      </c>
      <c r="K13" s="113">
        <v>43.283422346298423</v>
      </c>
      <c r="L13" s="113">
        <v>-2849842</v>
      </c>
      <c r="M13" s="122" t="s">
        <v>286</v>
      </c>
      <c r="N13" s="116">
        <v>-15819848.640000124</v>
      </c>
      <c r="O13" s="116">
        <v>-186637835.53000003</v>
      </c>
      <c r="P13" s="117">
        <v>50963883.329999998</v>
      </c>
      <c r="Q13" s="117">
        <v>-0.31</v>
      </c>
      <c r="R13" s="117">
        <v>-15813876.640000001</v>
      </c>
      <c r="S13" s="113">
        <v>-0.31029575469362103</v>
      </c>
      <c r="T13" s="24" t="s">
        <v>53</v>
      </c>
      <c r="U13" s="24" t="s">
        <v>52</v>
      </c>
      <c r="V13" s="25" t="s">
        <v>52</v>
      </c>
      <c r="W13" s="110">
        <v>4</v>
      </c>
      <c r="X13" s="27" t="s">
        <v>76</v>
      </c>
    </row>
    <row r="14" spans="1:24" s="28" customFormat="1" ht="11.4" x14ac:dyDescent="0.2">
      <c r="A14" s="29">
        <v>12</v>
      </c>
      <c r="B14" s="20" t="s">
        <v>4</v>
      </c>
      <c r="C14" s="37" t="s">
        <v>16</v>
      </c>
      <c r="D14" s="21" t="s">
        <v>122</v>
      </c>
      <c r="E14" s="97">
        <v>193922649.06</v>
      </c>
      <c r="F14" s="97">
        <v>153565738</v>
      </c>
      <c r="G14" s="96">
        <v>40356911.060000002</v>
      </c>
      <c r="H14" s="94" t="s">
        <v>55</v>
      </c>
      <c r="I14" s="114">
        <v>8071382.2199999997</v>
      </c>
      <c r="J14" s="113">
        <v>1461637.6400000001</v>
      </c>
      <c r="K14" s="113">
        <v>3.6217777862803557</v>
      </c>
      <c r="L14" s="113">
        <v>6609744.5800000001</v>
      </c>
      <c r="M14" s="122" t="s">
        <v>287</v>
      </c>
      <c r="N14" s="116">
        <v>2952268.3900000132</v>
      </c>
      <c r="O14" s="116">
        <v>-16042733.580000013</v>
      </c>
      <c r="P14" s="117">
        <v>12889137.33</v>
      </c>
      <c r="Q14" s="117">
        <v>0.23</v>
      </c>
      <c r="R14" s="117">
        <v>2398457.9900000002</v>
      </c>
      <c r="S14" s="113">
        <v>0.18608367096977779</v>
      </c>
      <c r="T14" s="24" t="s">
        <v>53</v>
      </c>
      <c r="U14" s="24" t="s">
        <v>53</v>
      </c>
      <c r="V14" s="25" t="s">
        <v>52</v>
      </c>
      <c r="W14" s="110">
        <v>2</v>
      </c>
      <c r="X14" s="27" t="s">
        <v>56</v>
      </c>
    </row>
    <row r="15" spans="1:24" s="28" customFormat="1" ht="11.4" x14ac:dyDescent="0.2">
      <c r="A15" s="20">
        <v>13</v>
      </c>
      <c r="B15" s="20" t="s">
        <v>4</v>
      </c>
      <c r="C15" s="37" t="s">
        <v>17</v>
      </c>
      <c r="D15" s="21" t="s">
        <v>290</v>
      </c>
      <c r="E15" s="97">
        <v>728102301.25</v>
      </c>
      <c r="F15" s="97">
        <v>722759209.40999997</v>
      </c>
      <c r="G15" s="96">
        <v>5343091.8400000334</v>
      </c>
      <c r="H15" s="94" t="s">
        <v>55</v>
      </c>
      <c r="I15" s="114">
        <v>1068618.3700000001</v>
      </c>
      <c r="J15" s="113">
        <v>6511208.1100000003</v>
      </c>
      <c r="K15" s="113">
        <v>121.86217839744187</v>
      </c>
      <c r="L15" s="113">
        <v>-5442589.7400000002</v>
      </c>
      <c r="M15" s="122" t="s">
        <v>286</v>
      </c>
      <c r="N15" s="116">
        <v>-48468074</v>
      </c>
      <c r="O15" s="116">
        <v>-119641934.97</v>
      </c>
      <c r="P15" s="117">
        <v>59057306.243749976</v>
      </c>
      <c r="Q15" s="117">
        <v>2.3797991234128428</v>
      </c>
      <c r="R15" s="117">
        <v>140392114.10999998</v>
      </c>
      <c r="S15" s="113">
        <v>2.377218383963418</v>
      </c>
      <c r="T15" s="24" t="s">
        <v>53</v>
      </c>
      <c r="U15" s="24" t="s">
        <v>52</v>
      </c>
      <c r="V15" s="25" t="s">
        <v>53</v>
      </c>
      <c r="W15" s="110">
        <v>3</v>
      </c>
      <c r="X15" s="99" t="s">
        <v>57</v>
      </c>
    </row>
    <row r="16" spans="1:24" s="28" customFormat="1" ht="11.4" x14ac:dyDescent="0.2">
      <c r="A16" s="20">
        <v>14</v>
      </c>
      <c r="B16" s="20" t="s">
        <v>4</v>
      </c>
      <c r="C16" s="37" t="s">
        <v>18</v>
      </c>
      <c r="D16" s="21" t="s">
        <v>123</v>
      </c>
      <c r="E16" s="97">
        <v>287553870.79800004</v>
      </c>
      <c r="F16" s="97">
        <v>261577845.40799999</v>
      </c>
      <c r="G16" s="97">
        <v>25976025.390000045</v>
      </c>
      <c r="H16" s="94" t="s">
        <v>55</v>
      </c>
      <c r="I16" s="114">
        <v>5195205.08</v>
      </c>
      <c r="J16" s="113">
        <v>4704463</v>
      </c>
      <c r="K16" s="113">
        <v>18.110788426512205</v>
      </c>
      <c r="L16" s="113">
        <v>490742.08000000007</v>
      </c>
      <c r="M16" s="122" t="s">
        <v>287</v>
      </c>
      <c r="N16" s="116">
        <v>-48468074</v>
      </c>
      <c r="O16" s="116">
        <v>-82233987.469999999</v>
      </c>
      <c r="P16" s="117">
        <v>22553753.485591669</v>
      </c>
      <c r="Q16" s="117">
        <v>-2.1490025609689996</v>
      </c>
      <c r="R16" s="117">
        <v>-48099056.719999999</v>
      </c>
      <c r="S16" s="113">
        <v>-2.1326408817373923</v>
      </c>
      <c r="T16" s="24" t="s">
        <v>53</v>
      </c>
      <c r="U16" s="24" t="s">
        <v>53</v>
      </c>
      <c r="V16" s="25" t="s">
        <v>52</v>
      </c>
      <c r="W16" s="110">
        <v>2</v>
      </c>
      <c r="X16" s="27" t="s">
        <v>56</v>
      </c>
    </row>
    <row r="17" spans="1:24" s="28" customFormat="1" ht="11.4" x14ac:dyDescent="0.2">
      <c r="A17" s="29">
        <v>15</v>
      </c>
      <c r="B17" s="20" t="s">
        <v>4</v>
      </c>
      <c r="C17" s="37" t="s">
        <v>19</v>
      </c>
      <c r="D17" s="21" t="s">
        <v>124</v>
      </c>
      <c r="E17" s="97">
        <v>155725991.57999998</v>
      </c>
      <c r="F17" s="97">
        <v>150060756.05999997</v>
      </c>
      <c r="G17" s="96">
        <v>5665235.5200000107</v>
      </c>
      <c r="H17" s="94" t="s">
        <v>55</v>
      </c>
      <c r="I17" s="114">
        <v>1133047.1100000001</v>
      </c>
      <c r="J17" s="113">
        <v>0</v>
      </c>
      <c r="K17" s="113">
        <v>0</v>
      </c>
      <c r="L17" s="113">
        <v>1133047.1100000001</v>
      </c>
      <c r="M17" s="122" t="s">
        <v>287</v>
      </c>
      <c r="N17" s="116">
        <v>-2328380.9100000029</v>
      </c>
      <c r="O17" s="116">
        <v>-22047546.429999992</v>
      </c>
      <c r="P17" s="117">
        <v>14091999.362499999</v>
      </c>
      <c r="Q17" s="117">
        <v>7.3979015552201428</v>
      </c>
      <c r="R17" s="117">
        <v>103941390.88</v>
      </c>
      <c r="S17" s="113">
        <v>7.3759150994994238</v>
      </c>
      <c r="T17" s="24" t="s">
        <v>53</v>
      </c>
      <c r="U17" s="24" t="s">
        <v>53</v>
      </c>
      <c r="V17" s="25" t="s">
        <v>53</v>
      </c>
      <c r="W17" s="110">
        <v>1</v>
      </c>
      <c r="X17" s="99" t="s">
        <v>104</v>
      </c>
    </row>
    <row r="18" spans="1:24" s="28" customFormat="1" ht="11.4" x14ac:dyDescent="0.2">
      <c r="A18" s="20">
        <v>16</v>
      </c>
      <c r="B18" s="20" t="s">
        <v>4</v>
      </c>
      <c r="C18" s="37" t="s">
        <v>20</v>
      </c>
      <c r="D18" s="21" t="s">
        <v>125</v>
      </c>
      <c r="E18" s="97">
        <v>100122517</v>
      </c>
      <c r="F18" s="97">
        <v>98201190.75999999</v>
      </c>
      <c r="G18" s="97">
        <v>1921326.2400000095</v>
      </c>
      <c r="H18" s="94" t="s">
        <v>55</v>
      </c>
      <c r="I18" s="114">
        <v>384265.25</v>
      </c>
      <c r="J18" s="113">
        <v>154659.1</v>
      </c>
      <c r="K18" s="113">
        <v>8.0496011963069449</v>
      </c>
      <c r="L18" s="113">
        <v>229606.15</v>
      </c>
      <c r="M18" s="122" t="s">
        <v>287</v>
      </c>
      <c r="N18" s="116">
        <v>-9363384.8100000005</v>
      </c>
      <c r="O18" s="116">
        <v>-15993078.930000007</v>
      </c>
      <c r="P18" s="117">
        <v>8130785.3200000003</v>
      </c>
      <c r="Q18" s="117">
        <v>-1.1499999999999999</v>
      </c>
      <c r="R18" s="117">
        <v>-9362366.1400000006</v>
      </c>
      <c r="S18" s="113">
        <v>-1.1514713242976142</v>
      </c>
      <c r="T18" s="24" t="s">
        <v>53</v>
      </c>
      <c r="U18" s="24" t="s">
        <v>53</v>
      </c>
      <c r="V18" s="25" t="s">
        <v>52</v>
      </c>
      <c r="W18" s="110">
        <v>2</v>
      </c>
      <c r="X18" s="27" t="s">
        <v>56</v>
      </c>
    </row>
    <row r="19" spans="1:24" s="28" customFormat="1" ht="11.4" x14ac:dyDescent="0.2">
      <c r="A19" s="20">
        <v>17</v>
      </c>
      <c r="B19" s="20" t="s">
        <v>4</v>
      </c>
      <c r="C19" s="37" t="s">
        <v>21</v>
      </c>
      <c r="D19" s="21" t="s">
        <v>126</v>
      </c>
      <c r="E19" s="97">
        <v>169778963.1418182</v>
      </c>
      <c r="F19" s="97">
        <v>155891419.3281818</v>
      </c>
      <c r="G19" s="96">
        <v>13887543.813636392</v>
      </c>
      <c r="H19" s="94" t="s">
        <v>55</v>
      </c>
      <c r="I19" s="114">
        <v>2777508.7699999996</v>
      </c>
      <c r="J19" s="113">
        <v>2651274.19</v>
      </c>
      <c r="K19" s="113">
        <v>19.091023046110379</v>
      </c>
      <c r="L19" s="113">
        <v>126234.57999999961</v>
      </c>
      <c r="M19" s="122" t="s">
        <v>287</v>
      </c>
      <c r="N19" s="116">
        <v>35706729.169999994</v>
      </c>
      <c r="O19" s="116">
        <v>4544813.3099999987</v>
      </c>
      <c r="P19" s="117">
        <v>12055796.9</v>
      </c>
      <c r="Q19" s="117">
        <v>2.96</v>
      </c>
      <c r="R19" s="117">
        <v>35119243.380000003</v>
      </c>
      <c r="S19" s="113">
        <v>2.9130586448416365</v>
      </c>
      <c r="T19" s="24" t="s">
        <v>53</v>
      </c>
      <c r="U19" s="24" t="s">
        <v>53</v>
      </c>
      <c r="V19" s="25" t="s">
        <v>53</v>
      </c>
      <c r="W19" s="110">
        <v>1</v>
      </c>
      <c r="X19" s="99" t="s">
        <v>104</v>
      </c>
    </row>
    <row r="20" spans="1:24" s="28" customFormat="1" ht="11.4" x14ac:dyDescent="0.2">
      <c r="A20" s="29">
        <v>18</v>
      </c>
      <c r="B20" s="20" t="s">
        <v>4</v>
      </c>
      <c r="C20" s="37" t="s">
        <v>22</v>
      </c>
      <c r="D20" s="21" t="s">
        <v>127</v>
      </c>
      <c r="E20" s="97">
        <v>172100197.31999999</v>
      </c>
      <c r="F20" s="97">
        <v>166237757.38999999</v>
      </c>
      <c r="G20" s="96">
        <v>5862439.9300000072</v>
      </c>
      <c r="H20" s="94" t="s">
        <v>55</v>
      </c>
      <c r="I20" s="114">
        <v>1172487.99</v>
      </c>
      <c r="J20" s="113">
        <v>1166300</v>
      </c>
      <c r="K20" s="113">
        <v>19.894446918452239</v>
      </c>
      <c r="L20" s="113">
        <v>6187.9899999999907</v>
      </c>
      <c r="M20" s="122" t="s">
        <v>287</v>
      </c>
      <c r="N20" s="116">
        <v>5353899.4399999846</v>
      </c>
      <c r="O20" s="116">
        <v>-35152044.210000008</v>
      </c>
      <c r="P20" s="117">
        <v>14091999.362499999</v>
      </c>
      <c r="Q20" s="117">
        <v>0.3799247574653728</v>
      </c>
      <c r="R20" s="117">
        <v>5044066.32</v>
      </c>
      <c r="S20" s="113">
        <v>0.3579383017446543</v>
      </c>
      <c r="T20" s="24" t="s">
        <v>53</v>
      </c>
      <c r="U20" s="24" t="s">
        <v>53</v>
      </c>
      <c r="V20" s="25" t="s">
        <v>52</v>
      </c>
      <c r="W20" s="110">
        <v>2</v>
      </c>
      <c r="X20" s="27" t="s">
        <v>56</v>
      </c>
    </row>
    <row r="21" spans="1:24" s="28" customFormat="1" ht="11.4" x14ac:dyDescent="0.2">
      <c r="A21" s="20">
        <v>19</v>
      </c>
      <c r="B21" s="20" t="s">
        <v>4</v>
      </c>
      <c r="C21" s="37" t="s">
        <v>23</v>
      </c>
      <c r="D21" s="21" t="s">
        <v>128</v>
      </c>
      <c r="E21" s="97">
        <v>114437199.67999999</v>
      </c>
      <c r="F21" s="97">
        <v>102018258.42999998</v>
      </c>
      <c r="G21" s="96">
        <v>12418941.250000015</v>
      </c>
      <c r="H21" s="94" t="s">
        <v>55</v>
      </c>
      <c r="I21" s="114">
        <v>2483788.25</v>
      </c>
      <c r="J21" s="113">
        <v>5009175.57</v>
      </c>
      <c r="K21" s="113">
        <v>40.334964705626533</v>
      </c>
      <c r="L21" s="113">
        <v>-2525387.3200000003</v>
      </c>
      <c r="M21" s="122" t="s">
        <v>286</v>
      </c>
      <c r="N21" s="116">
        <v>35978495.609999999</v>
      </c>
      <c r="O21" s="116">
        <v>8218274.1900000051</v>
      </c>
      <c r="P21" s="117">
        <v>8056894.2974999994</v>
      </c>
      <c r="Q21" s="117">
        <v>4.4655538823643113</v>
      </c>
      <c r="R21" s="117">
        <v>33491882.800000001</v>
      </c>
      <c r="S21" s="113">
        <v>4.1569222039306517</v>
      </c>
      <c r="T21" s="24" t="s">
        <v>53</v>
      </c>
      <c r="U21" s="24" t="s">
        <v>52</v>
      </c>
      <c r="V21" s="25" t="s">
        <v>53</v>
      </c>
      <c r="W21" s="110">
        <v>3</v>
      </c>
      <c r="X21" s="99" t="s">
        <v>57</v>
      </c>
    </row>
    <row r="22" spans="1:24" s="28" customFormat="1" ht="11.4" x14ac:dyDescent="0.2">
      <c r="A22" s="20">
        <v>20</v>
      </c>
      <c r="B22" s="20" t="s">
        <v>4</v>
      </c>
      <c r="C22" s="37" t="s">
        <v>24</v>
      </c>
      <c r="D22" s="21" t="s">
        <v>129</v>
      </c>
      <c r="E22" s="97">
        <v>166568100</v>
      </c>
      <c r="F22" s="97">
        <v>122784600</v>
      </c>
      <c r="G22" s="96">
        <v>43783500</v>
      </c>
      <c r="H22" s="94" t="s">
        <v>55</v>
      </c>
      <c r="I22" s="114">
        <v>8756700</v>
      </c>
      <c r="J22" s="113">
        <v>6060974.25</v>
      </c>
      <c r="K22" s="113">
        <v>13.843055603138168</v>
      </c>
      <c r="L22" s="113">
        <v>2695725.75</v>
      </c>
      <c r="M22" s="122" t="s">
        <v>287</v>
      </c>
      <c r="N22" s="116">
        <v>15712326.890000002</v>
      </c>
      <c r="O22" s="116">
        <v>-6873430.9700000063</v>
      </c>
      <c r="P22" s="117">
        <v>10280530</v>
      </c>
      <c r="Q22" s="117">
        <v>1.5283576712484666</v>
      </c>
      <c r="R22" s="117">
        <v>14888520.889999997</v>
      </c>
      <c r="S22" s="113">
        <v>1.4482250321724655</v>
      </c>
      <c r="T22" s="24" t="s">
        <v>53</v>
      </c>
      <c r="U22" s="24" t="s">
        <v>53</v>
      </c>
      <c r="V22" s="25" t="s">
        <v>53</v>
      </c>
      <c r="W22" s="110">
        <v>1</v>
      </c>
      <c r="X22" s="99" t="s">
        <v>104</v>
      </c>
    </row>
    <row r="23" spans="1:24" s="28" customFormat="1" ht="11.4" x14ac:dyDescent="0.2">
      <c r="A23" s="29">
        <v>21</v>
      </c>
      <c r="B23" s="20" t="s">
        <v>4</v>
      </c>
      <c r="C23" s="37" t="s">
        <v>25</v>
      </c>
      <c r="D23" s="21" t="s">
        <v>130</v>
      </c>
      <c r="E23" s="98">
        <v>126692000</v>
      </c>
      <c r="F23" s="98">
        <v>126191100</v>
      </c>
      <c r="G23" s="96">
        <v>500900</v>
      </c>
      <c r="H23" s="115" t="s">
        <v>55</v>
      </c>
      <c r="I23" s="114">
        <v>100180</v>
      </c>
      <c r="J23" s="113">
        <v>0</v>
      </c>
      <c r="K23" s="113">
        <v>0</v>
      </c>
      <c r="L23" s="113">
        <v>100180</v>
      </c>
      <c r="M23" s="122" t="s">
        <v>287</v>
      </c>
      <c r="N23" s="116">
        <v>-15148115.980000012</v>
      </c>
      <c r="O23" s="116">
        <v>-34416636.309999987</v>
      </c>
      <c r="P23" s="117">
        <v>10663464.566666668</v>
      </c>
      <c r="Q23" s="117">
        <v>-1.4205623214946552</v>
      </c>
      <c r="R23" s="117">
        <v>-15148115.98</v>
      </c>
      <c r="S23" s="113">
        <v>-1.4205623214946552</v>
      </c>
      <c r="T23" s="24" t="s">
        <v>53</v>
      </c>
      <c r="U23" s="24" t="s">
        <v>53</v>
      </c>
      <c r="V23" s="25" t="s">
        <v>52</v>
      </c>
      <c r="W23" s="110">
        <v>2</v>
      </c>
      <c r="X23" s="27" t="s">
        <v>56</v>
      </c>
    </row>
    <row r="24" spans="1:24" s="28" customFormat="1" ht="11.4" x14ac:dyDescent="0.2">
      <c r="A24" s="20">
        <v>22</v>
      </c>
      <c r="B24" s="20" t="s">
        <v>4</v>
      </c>
      <c r="C24" s="37" t="s">
        <v>26</v>
      </c>
      <c r="D24" s="21" t="s">
        <v>131</v>
      </c>
      <c r="E24" s="97">
        <v>94185163.330000013</v>
      </c>
      <c r="F24" s="97">
        <v>94110117.599999994</v>
      </c>
      <c r="G24" s="96">
        <v>75045.730000019073</v>
      </c>
      <c r="H24" s="94" t="s">
        <v>55</v>
      </c>
      <c r="I24" s="114">
        <v>15009.15</v>
      </c>
      <c r="J24" s="113">
        <v>0</v>
      </c>
      <c r="K24" s="113">
        <v>0</v>
      </c>
      <c r="L24" s="113">
        <v>15009.15</v>
      </c>
      <c r="M24" s="122" t="s">
        <v>287</v>
      </c>
      <c r="N24" s="116">
        <v>-5603352.5199999902</v>
      </c>
      <c r="O24" s="118">
        <v>-17630619.980000004</v>
      </c>
      <c r="P24" s="117">
        <v>7785498.8300000001</v>
      </c>
      <c r="Q24" s="117">
        <v>-0.72</v>
      </c>
      <c r="R24" s="117">
        <v>-5592107.7199999997</v>
      </c>
      <c r="S24" s="113">
        <v>-0.71827224460580896</v>
      </c>
      <c r="T24" s="24" t="s">
        <v>53</v>
      </c>
      <c r="U24" s="24" t="s">
        <v>53</v>
      </c>
      <c r="V24" s="25" t="s">
        <v>52</v>
      </c>
      <c r="W24" s="110">
        <v>2</v>
      </c>
      <c r="X24" s="27" t="s">
        <v>56</v>
      </c>
    </row>
    <row r="25" spans="1:24" s="28" customFormat="1" ht="11.4" x14ac:dyDescent="0.2">
      <c r="A25" s="20">
        <v>23</v>
      </c>
      <c r="B25" s="20" t="s">
        <v>4</v>
      </c>
      <c r="C25" s="37" t="s">
        <v>27</v>
      </c>
      <c r="D25" s="21" t="s">
        <v>132</v>
      </c>
      <c r="E25" s="97">
        <v>94318339.640000015</v>
      </c>
      <c r="F25" s="97">
        <v>94001074.639999986</v>
      </c>
      <c r="G25" s="96">
        <v>317265.0000000298</v>
      </c>
      <c r="H25" s="94" t="s">
        <v>55</v>
      </c>
      <c r="I25" s="114">
        <v>63453.01</v>
      </c>
      <c r="J25" s="113">
        <v>17024.72</v>
      </c>
      <c r="K25" s="113">
        <v>5.3660882858173453</v>
      </c>
      <c r="L25" s="113">
        <v>46428.29</v>
      </c>
      <c r="M25" s="122" t="s">
        <v>287</v>
      </c>
      <c r="N25" s="116">
        <v>-13340695.540000003</v>
      </c>
      <c r="O25" s="118">
        <v>-23764209.530000005</v>
      </c>
      <c r="P25" s="117">
        <v>7742507.2266666666</v>
      </c>
      <c r="Q25" s="117">
        <v>-1.7230459267835241</v>
      </c>
      <c r="R25" s="117">
        <v>-13255166.399999999</v>
      </c>
      <c r="S25" s="113">
        <v>-1.7119992286667407</v>
      </c>
      <c r="T25" s="24" t="s">
        <v>53</v>
      </c>
      <c r="U25" s="24" t="s">
        <v>53</v>
      </c>
      <c r="V25" s="25" t="s">
        <v>52</v>
      </c>
      <c r="W25" s="110">
        <v>2</v>
      </c>
      <c r="X25" s="27" t="s">
        <v>56</v>
      </c>
    </row>
    <row r="26" spans="1:24" s="28" customFormat="1" ht="11.4" x14ac:dyDescent="0.2">
      <c r="A26" s="29">
        <v>24</v>
      </c>
      <c r="B26" s="20" t="s">
        <v>4</v>
      </c>
      <c r="C26" s="37" t="s">
        <v>28</v>
      </c>
      <c r="D26" s="21" t="s">
        <v>133</v>
      </c>
      <c r="E26" s="97">
        <v>78172600</v>
      </c>
      <c r="F26" s="97">
        <v>63967499.999999993</v>
      </c>
      <c r="G26" s="96">
        <v>14205100.000000007</v>
      </c>
      <c r="H26" s="94" t="s">
        <v>55</v>
      </c>
      <c r="I26" s="114">
        <v>2841020</v>
      </c>
      <c r="J26" s="113">
        <v>438500</v>
      </c>
      <c r="K26" s="113">
        <v>3.086919486663239</v>
      </c>
      <c r="L26" s="113">
        <v>2402520</v>
      </c>
      <c r="M26" s="122" t="s">
        <v>287</v>
      </c>
      <c r="N26" s="116">
        <v>1503856.3199999961</v>
      </c>
      <c r="O26" s="118">
        <v>-11478641.999999998</v>
      </c>
      <c r="P26" s="117">
        <v>5370124.9999999991</v>
      </c>
      <c r="Q26" s="117">
        <v>0.2800412131933615</v>
      </c>
      <c r="R26" s="117">
        <v>1364706.33</v>
      </c>
      <c r="S26" s="113">
        <v>0.25412934149577532</v>
      </c>
      <c r="T26" s="24" t="s">
        <v>53</v>
      </c>
      <c r="U26" s="24" t="s">
        <v>53</v>
      </c>
      <c r="V26" s="25" t="s">
        <v>52</v>
      </c>
      <c r="W26" s="110">
        <v>2</v>
      </c>
      <c r="X26" s="27" t="s">
        <v>56</v>
      </c>
    </row>
    <row r="27" spans="1:24" s="28" customFormat="1" ht="11.4" x14ac:dyDescent="0.2">
      <c r="A27" s="20">
        <v>25</v>
      </c>
      <c r="B27" s="20" t="s">
        <v>4</v>
      </c>
      <c r="C27" s="58" t="s">
        <v>134</v>
      </c>
      <c r="D27" s="21" t="s">
        <v>291</v>
      </c>
      <c r="E27" s="97">
        <v>82802803.120000005</v>
      </c>
      <c r="F27" s="97">
        <v>42729042</v>
      </c>
      <c r="G27" s="96">
        <v>40073761.120000005</v>
      </c>
      <c r="H27" s="94" t="s">
        <v>55</v>
      </c>
      <c r="I27" s="114">
        <v>8014752.2299999995</v>
      </c>
      <c r="J27" s="113">
        <v>54263353.369999997</v>
      </c>
      <c r="K27" s="113">
        <v>135.40868601654225</v>
      </c>
      <c r="L27" s="113">
        <v>-46248601.140000001</v>
      </c>
      <c r="M27" s="122" t="s">
        <v>286</v>
      </c>
      <c r="N27" s="119">
        <v>72183745.560000002</v>
      </c>
      <c r="O27" s="119">
        <v>61687349.940000013</v>
      </c>
      <c r="P27" s="117">
        <v>3517354.3333333335</v>
      </c>
      <c r="Q27" s="117">
        <v>20.522170563234887</v>
      </c>
      <c r="R27" s="117">
        <v>23265522.609999999</v>
      </c>
      <c r="S27" s="113">
        <v>6.6144949883259789</v>
      </c>
      <c r="T27" s="24" t="s">
        <v>53</v>
      </c>
      <c r="U27" s="24" t="s">
        <v>52</v>
      </c>
      <c r="V27" s="25" t="s">
        <v>53</v>
      </c>
      <c r="W27" s="110">
        <v>3</v>
      </c>
      <c r="X27" s="99" t="s">
        <v>57</v>
      </c>
    </row>
    <row r="28" spans="1:24" s="33" customFormat="1" ht="11.4" x14ac:dyDescent="0.2">
      <c r="A28" s="20">
        <v>26</v>
      </c>
      <c r="B28" s="31" t="s">
        <v>29</v>
      </c>
      <c r="C28" s="31">
        <v>10714</v>
      </c>
      <c r="D28" s="32" t="s">
        <v>135</v>
      </c>
      <c r="E28" s="102">
        <v>1472000000</v>
      </c>
      <c r="F28" s="102">
        <v>1441450000</v>
      </c>
      <c r="G28" s="104">
        <v>30550000</v>
      </c>
      <c r="H28" s="94" t="s">
        <v>55</v>
      </c>
      <c r="I28" s="113">
        <v>6110000</v>
      </c>
      <c r="J28" s="105">
        <v>98367316.900000006</v>
      </c>
      <c r="K28" s="113">
        <f>J28/G28*100</f>
        <v>321.9879440261866</v>
      </c>
      <c r="L28" s="113">
        <f>+I28-J28</f>
        <v>-92257316.900000006</v>
      </c>
      <c r="M28" s="23" t="s">
        <v>286</v>
      </c>
      <c r="N28" s="106">
        <v>421617478.45999998</v>
      </c>
      <c r="O28" s="120">
        <v>94520593.030000001</v>
      </c>
      <c r="P28" s="121">
        <v>119233333.33</v>
      </c>
      <c r="Q28" s="113">
        <v>3.54</v>
      </c>
      <c r="R28" s="121">
        <v>306643380.95999998</v>
      </c>
      <c r="S28" s="121">
        <v>2.57</v>
      </c>
      <c r="T28" s="24" t="s">
        <v>53</v>
      </c>
      <c r="U28" s="24" t="s">
        <v>52</v>
      </c>
      <c r="V28" s="25" t="s">
        <v>53</v>
      </c>
      <c r="W28" s="110">
        <v>3</v>
      </c>
      <c r="X28" s="99" t="s">
        <v>57</v>
      </c>
    </row>
    <row r="29" spans="1:24" s="28" customFormat="1" ht="11.4" x14ac:dyDescent="0.2">
      <c r="A29" s="29">
        <v>27</v>
      </c>
      <c r="B29" s="31" t="s">
        <v>29</v>
      </c>
      <c r="C29" s="20">
        <v>11140</v>
      </c>
      <c r="D29" s="32" t="s">
        <v>136</v>
      </c>
      <c r="E29" s="102">
        <v>115875431.95999999</v>
      </c>
      <c r="F29" s="102">
        <v>106703469.81999999</v>
      </c>
      <c r="G29" s="104">
        <v>9171962.1400000006</v>
      </c>
      <c r="H29" s="94" t="s">
        <v>55</v>
      </c>
      <c r="I29" s="113">
        <v>1834392.4280000001</v>
      </c>
      <c r="J29" s="105">
        <v>6980251.5</v>
      </c>
      <c r="K29" s="113">
        <f t="shared" ref="K29:K35" si="0">J29/G29*100</f>
        <v>76.104233679272468</v>
      </c>
      <c r="L29" s="113">
        <f t="shared" ref="L29:L35" si="1">+I29-J29</f>
        <v>-5145859.0719999997</v>
      </c>
      <c r="M29" s="23" t="s">
        <v>286</v>
      </c>
      <c r="N29" s="106">
        <v>19838790.449999999</v>
      </c>
      <c r="O29" s="120">
        <v>7570156.25</v>
      </c>
      <c r="P29" s="121">
        <v>9924412.1899999995</v>
      </c>
      <c r="Q29" s="113">
        <v>2</v>
      </c>
      <c r="R29" s="121">
        <v>12448619.439999999</v>
      </c>
      <c r="S29" s="121">
        <v>1.25</v>
      </c>
      <c r="T29" s="24" t="s">
        <v>53</v>
      </c>
      <c r="U29" s="24" t="s">
        <v>52</v>
      </c>
      <c r="V29" s="25" t="s">
        <v>53</v>
      </c>
      <c r="W29" s="110">
        <v>3</v>
      </c>
      <c r="X29" s="99" t="s">
        <v>57</v>
      </c>
    </row>
    <row r="30" spans="1:24" s="28" customFormat="1" ht="11.4" x14ac:dyDescent="0.2">
      <c r="A30" s="20">
        <v>28</v>
      </c>
      <c r="B30" s="31" t="s">
        <v>29</v>
      </c>
      <c r="C30" s="20">
        <v>11141</v>
      </c>
      <c r="D30" s="32" t="s">
        <v>137</v>
      </c>
      <c r="E30" s="102">
        <v>141967209.16999999</v>
      </c>
      <c r="F30" s="102">
        <v>135433157.19999999</v>
      </c>
      <c r="G30" s="104">
        <v>6534051.9699999988</v>
      </c>
      <c r="H30" s="94" t="s">
        <v>55</v>
      </c>
      <c r="I30" s="113">
        <v>1306810.3939999999</v>
      </c>
      <c r="J30" s="105">
        <v>1300000</v>
      </c>
      <c r="K30" s="113">
        <f t="shared" si="0"/>
        <v>19.895770740250178</v>
      </c>
      <c r="L30" s="113">
        <f t="shared" si="1"/>
        <v>6810.3939999998547</v>
      </c>
      <c r="M30" s="23" t="s">
        <v>287</v>
      </c>
      <c r="N30" s="106">
        <v>11938926.92</v>
      </c>
      <c r="O30" s="120">
        <v>1718396.5800000019</v>
      </c>
      <c r="P30" s="121">
        <v>10681202.960000001</v>
      </c>
      <c r="Q30" s="113">
        <v>1.1200000000000001</v>
      </c>
      <c r="R30" s="121">
        <v>11938926.92</v>
      </c>
      <c r="S30" s="121">
        <v>1.1200000000000001</v>
      </c>
      <c r="T30" s="24" t="s">
        <v>53</v>
      </c>
      <c r="U30" s="24" t="s">
        <v>53</v>
      </c>
      <c r="V30" s="25" t="s">
        <v>52</v>
      </c>
      <c r="W30" s="110">
        <v>2</v>
      </c>
      <c r="X30" s="27" t="s">
        <v>56</v>
      </c>
    </row>
    <row r="31" spans="1:24" s="28" customFormat="1" ht="11.4" x14ac:dyDescent="0.2">
      <c r="A31" s="20">
        <v>29</v>
      </c>
      <c r="B31" s="31" t="s">
        <v>29</v>
      </c>
      <c r="C31" s="20">
        <v>11142</v>
      </c>
      <c r="D31" s="32" t="s">
        <v>138</v>
      </c>
      <c r="E31" s="102">
        <v>270611133.73000002</v>
      </c>
      <c r="F31" s="102">
        <v>262426935</v>
      </c>
      <c r="G31" s="104">
        <v>8184198.7300000191</v>
      </c>
      <c r="H31" s="94" t="s">
        <v>55</v>
      </c>
      <c r="I31" s="113">
        <v>1636839.7460000038</v>
      </c>
      <c r="J31" s="105">
        <v>1540000</v>
      </c>
      <c r="K31" s="113">
        <f t="shared" si="0"/>
        <v>18.816747378762592</v>
      </c>
      <c r="L31" s="113">
        <f t="shared" si="1"/>
        <v>96839.746000003768</v>
      </c>
      <c r="M31" s="23" t="s">
        <v>287</v>
      </c>
      <c r="N31" s="106">
        <v>-6157998.04</v>
      </c>
      <c r="O31" s="120">
        <v>-36441100.949999996</v>
      </c>
      <c r="P31" s="121">
        <v>21641353.329999998</v>
      </c>
      <c r="Q31" s="113">
        <v>-0.28000000000000003</v>
      </c>
      <c r="R31" s="121">
        <v>-5956200.1699999999</v>
      </c>
      <c r="S31" s="121">
        <v>-0.28000000000000003</v>
      </c>
      <c r="T31" s="24" t="s">
        <v>53</v>
      </c>
      <c r="U31" s="24" t="s">
        <v>53</v>
      </c>
      <c r="V31" s="25" t="s">
        <v>52</v>
      </c>
      <c r="W31" s="110">
        <v>2</v>
      </c>
      <c r="X31" s="27" t="s">
        <v>56</v>
      </c>
    </row>
    <row r="32" spans="1:24" s="28" customFormat="1" ht="11.4" x14ac:dyDescent="0.2">
      <c r="A32" s="29">
        <v>30</v>
      </c>
      <c r="B32" s="31" t="s">
        <v>29</v>
      </c>
      <c r="C32" s="20">
        <v>11143</v>
      </c>
      <c r="D32" s="32" t="s">
        <v>139</v>
      </c>
      <c r="E32" s="102">
        <v>97927900.760000005</v>
      </c>
      <c r="F32" s="102">
        <v>97711110</v>
      </c>
      <c r="G32" s="104">
        <v>216790.76000000536</v>
      </c>
      <c r="H32" s="94" t="s">
        <v>55</v>
      </c>
      <c r="I32" s="113">
        <v>43358.152000001071</v>
      </c>
      <c r="J32" s="105">
        <v>1235400</v>
      </c>
      <c r="K32" s="113">
        <f t="shared" si="0"/>
        <v>569.85823565541693</v>
      </c>
      <c r="L32" s="113">
        <f t="shared" si="1"/>
        <v>-1192041.8479999988</v>
      </c>
      <c r="M32" s="23" t="s">
        <v>286</v>
      </c>
      <c r="N32" s="106">
        <v>470489.8</v>
      </c>
      <c r="O32" s="120">
        <v>-6047690.1999999993</v>
      </c>
      <c r="P32" s="121">
        <v>8470761.6699999999</v>
      </c>
      <c r="Q32" s="113">
        <v>0.6</v>
      </c>
      <c r="R32" s="121">
        <v>-391622.40000000002</v>
      </c>
      <c r="S32" s="121">
        <v>-0.05</v>
      </c>
      <c r="T32" s="24" t="s">
        <v>53</v>
      </c>
      <c r="U32" s="24" t="s">
        <v>52</v>
      </c>
      <c r="V32" s="25" t="s">
        <v>52</v>
      </c>
      <c r="W32" s="110">
        <v>4</v>
      </c>
      <c r="X32" s="27" t="s">
        <v>76</v>
      </c>
    </row>
    <row r="33" spans="1:24" s="28" customFormat="1" ht="11.4" x14ac:dyDescent="0.2">
      <c r="A33" s="20">
        <v>31</v>
      </c>
      <c r="B33" s="31" t="s">
        <v>29</v>
      </c>
      <c r="C33" s="20">
        <v>11144</v>
      </c>
      <c r="D33" s="32" t="s">
        <v>140</v>
      </c>
      <c r="E33" s="103">
        <v>245015310.53999999</v>
      </c>
      <c r="F33" s="102">
        <v>244298494.91</v>
      </c>
      <c r="G33" s="104">
        <v>716815.62999999523</v>
      </c>
      <c r="H33" s="94" t="s">
        <v>55</v>
      </c>
      <c r="I33" s="113">
        <v>143363.12599999906</v>
      </c>
      <c r="J33" s="105">
        <v>2332257</v>
      </c>
      <c r="K33" s="113">
        <f t="shared" si="0"/>
        <v>325.3635805904533</v>
      </c>
      <c r="L33" s="113">
        <f t="shared" si="1"/>
        <v>-2188893.8740000008</v>
      </c>
      <c r="M33" s="23" t="s">
        <v>286</v>
      </c>
      <c r="N33" s="106">
        <v>26221075.84</v>
      </c>
      <c r="O33" s="120">
        <v>-16640092.18</v>
      </c>
      <c r="P33" s="121">
        <v>20424699.25</v>
      </c>
      <c r="Q33" s="113">
        <v>1.28</v>
      </c>
      <c r="R33" s="121">
        <v>24443210.440000001</v>
      </c>
      <c r="S33" s="121">
        <v>1.2</v>
      </c>
      <c r="T33" s="24" t="s">
        <v>53</v>
      </c>
      <c r="U33" s="24" t="s">
        <v>52</v>
      </c>
      <c r="V33" s="25" t="s">
        <v>53</v>
      </c>
      <c r="W33" s="110">
        <v>3</v>
      </c>
      <c r="X33" s="99" t="s">
        <v>57</v>
      </c>
    </row>
    <row r="34" spans="1:24" s="28" customFormat="1" ht="11.4" x14ac:dyDescent="0.2">
      <c r="A34" s="20">
        <v>32</v>
      </c>
      <c r="B34" s="31" t="s">
        <v>29</v>
      </c>
      <c r="C34" s="20">
        <v>11145</v>
      </c>
      <c r="D34" s="32" t="s">
        <v>141</v>
      </c>
      <c r="E34" s="102">
        <v>99895156.209999993</v>
      </c>
      <c r="F34" s="102">
        <v>97788585.189999998</v>
      </c>
      <c r="G34" s="104">
        <v>2106571.0199999958</v>
      </c>
      <c r="H34" s="94" t="s">
        <v>55</v>
      </c>
      <c r="I34" s="113">
        <v>421314.20399999915</v>
      </c>
      <c r="J34" s="105">
        <v>5880000</v>
      </c>
      <c r="K34" s="113">
        <f t="shared" si="0"/>
        <v>279.12659692812122</v>
      </c>
      <c r="L34" s="113">
        <f t="shared" si="1"/>
        <v>-5458685.796000001</v>
      </c>
      <c r="M34" s="23" t="s">
        <v>286</v>
      </c>
      <c r="N34" s="106">
        <v>-1648236.41</v>
      </c>
      <c r="O34" s="120">
        <v>-9312370.660000002</v>
      </c>
      <c r="P34" s="121">
        <v>8105254.1500000004</v>
      </c>
      <c r="Q34" s="113">
        <v>-0.2</v>
      </c>
      <c r="R34" s="121">
        <v>-7500866.3600000003</v>
      </c>
      <c r="S34" s="121">
        <v>-0.93</v>
      </c>
      <c r="T34" s="24" t="s">
        <v>53</v>
      </c>
      <c r="U34" s="24" t="s">
        <v>52</v>
      </c>
      <c r="V34" s="25" t="s">
        <v>52</v>
      </c>
      <c r="W34" s="110">
        <v>4</v>
      </c>
      <c r="X34" s="27" t="s">
        <v>76</v>
      </c>
    </row>
    <row r="35" spans="1:24" s="28" customFormat="1" ht="11.4" x14ac:dyDescent="0.2">
      <c r="A35" s="29">
        <v>33</v>
      </c>
      <c r="B35" s="31" t="s">
        <v>29</v>
      </c>
      <c r="C35" s="20">
        <v>24956</v>
      </c>
      <c r="D35" s="32" t="s">
        <v>142</v>
      </c>
      <c r="E35" s="102">
        <v>74232050.420000002</v>
      </c>
      <c r="F35" s="102">
        <v>73798980</v>
      </c>
      <c r="G35" s="104">
        <v>433070.42000000179</v>
      </c>
      <c r="H35" s="94" t="s">
        <v>55</v>
      </c>
      <c r="I35" s="113">
        <v>86614.084000000352</v>
      </c>
      <c r="J35" s="105">
        <v>60270.58</v>
      </c>
      <c r="K35" s="113">
        <f t="shared" si="0"/>
        <v>13.917039173444298</v>
      </c>
      <c r="L35" s="113">
        <f t="shared" si="1"/>
        <v>26343.50400000035</v>
      </c>
      <c r="M35" s="23" t="s">
        <v>287</v>
      </c>
      <c r="N35" s="106">
        <v>-4857381.01</v>
      </c>
      <c r="O35" s="120">
        <v>-12104887.899999999</v>
      </c>
      <c r="P35" s="121">
        <v>6532503</v>
      </c>
      <c r="Q35" s="113">
        <v>-0.74</v>
      </c>
      <c r="R35" s="121">
        <v>-4823750.6100000003</v>
      </c>
      <c r="S35" s="121">
        <v>-0.74</v>
      </c>
      <c r="T35" s="24" t="s">
        <v>53</v>
      </c>
      <c r="U35" s="24" t="s">
        <v>53</v>
      </c>
      <c r="V35" s="25" t="s">
        <v>52</v>
      </c>
      <c r="W35" s="110">
        <v>2</v>
      </c>
      <c r="X35" s="27" t="s">
        <v>56</v>
      </c>
    </row>
    <row r="36" spans="1:24" s="28" customFormat="1" ht="11.4" x14ac:dyDescent="0.2">
      <c r="A36" s="20">
        <v>34</v>
      </c>
      <c r="B36" s="20" t="s">
        <v>30</v>
      </c>
      <c r="C36" s="20" t="s">
        <v>143</v>
      </c>
      <c r="D36" s="34" t="s">
        <v>144</v>
      </c>
      <c r="E36" s="100">
        <v>3811362000</v>
      </c>
      <c r="F36" s="100">
        <v>3660276000</v>
      </c>
      <c r="G36" s="101">
        <v>151086000</v>
      </c>
      <c r="H36" s="94" t="s">
        <v>55</v>
      </c>
      <c r="I36" s="117">
        <v>30217200</v>
      </c>
      <c r="J36" s="101">
        <v>414288350</v>
      </c>
      <c r="K36" s="117">
        <v>274.20697483552414</v>
      </c>
      <c r="L36" s="117">
        <v>-384071150</v>
      </c>
      <c r="M36" s="23" t="s">
        <v>286</v>
      </c>
      <c r="N36" s="101">
        <v>1088919921.2199993</v>
      </c>
      <c r="O36" s="101">
        <v>22096665.629999876</v>
      </c>
      <c r="P36" s="117">
        <v>305023000</v>
      </c>
      <c r="Q36" s="117">
        <v>3.5699600398002751</v>
      </c>
      <c r="R36" s="117">
        <v>704848771.21999931</v>
      </c>
      <c r="S36" s="117">
        <v>2.3108053203201049</v>
      </c>
      <c r="T36" s="35" t="s">
        <v>53</v>
      </c>
      <c r="U36" s="24" t="s">
        <v>52</v>
      </c>
      <c r="V36" s="35" t="s">
        <v>53</v>
      </c>
      <c r="W36" s="110">
        <v>3</v>
      </c>
      <c r="X36" s="99" t="s">
        <v>57</v>
      </c>
    </row>
    <row r="37" spans="1:24" s="28" customFormat="1" ht="11.4" x14ac:dyDescent="0.2">
      <c r="A37" s="20">
        <v>35</v>
      </c>
      <c r="B37" s="20" t="s">
        <v>30</v>
      </c>
      <c r="C37" s="20" t="s">
        <v>145</v>
      </c>
      <c r="D37" s="34" t="s">
        <v>146</v>
      </c>
      <c r="E37" s="100">
        <v>143327540</v>
      </c>
      <c r="F37" s="100">
        <v>139664970</v>
      </c>
      <c r="G37" s="101">
        <v>3662570</v>
      </c>
      <c r="H37" s="94" t="s">
        <v>55</v>
      </c>
      <c r="I37" s="117">
        <v>732514</v>
      </c>
      <c r="J37" s="101">
        <v>0</v>
      </c>
      <c r="K37" s="117">
        <v>0</v>
      </c>
      <c r="L37" s="117">
        <v>732514</v>
      </c>
      <c r="M37" s="23" t="s">
        <v>287</v>
      </c>
      <c r="N37" s="101">
        <v>-3718621.98</v>
      </c>
      <c r="O37" s="101">
        <v>-15731727.080000002</v>
      </c>
      <c r="P37" s="117">
        <v>11638747.5</v>
      </c>
      <c r="Q37" s="117">
        <v>-0.31950362184590736</v>
      </c>
      <c r="R37" s="117">
        <v>-2986107.98</v>
      </c>
      <c r="S37" s="117">
        <v>-0.25656609355946591</v>
      </c>
      <c r="T37" s="35" t="s">
        <v>53</v>
      </c>
      <c r="U37" s="24" t="s">
        <v>53</v>
      </c>
      <c r="V37" s="35" t="s">
        <v>52</v>
      </c>
      <c r="W37" s="110">
        <v>2</v>
      </c>
      <c r="X37" s="27" t="s">
        <v>56</v>
      </c>
    </row>
    <row r="38" spans="1:24" s="28" customFormat="1" ht="11.4" x14ac:dyDescent="0.2">
      <c r="A38" s="29">
        <v>36</v>
      </c>
      <c r="B38" s="20" t="s">
        <v>30</v>
      </c>
      <c r="C38" s="20" t="s">
        <v>147</v>
      </c>
      <c r="D38" s="34" t="s">
        <v>148</v>
      </c>
      <c r="E38" s="100">
        <v>507251850</v>
      </c>
      <c r="F38" s="100">
        <v>496667060</v>
      </c>
      <c r="G38" s="101">
        <v>10584790</v>
      </c>
      <c r="H38" s="94" t="s">
        <v>55</v>
      </c>
      <c r="I38" s="117">
        <v>2116958</v>
      </c>
      <c r="J38" s="101">
        <v>15430360</v>
      </c>
      <c r="K38" s="117">
        <v>145.77861251852894</v>
      </c>
      <c r="L38" s="117">
        <v>-13313402</v>
      </c>
      <c r="M38" s="23" t="s">
        <v>286</v>
      </c>
      <c r="N38" s="101">
        <v>-23429826.99000001</v>
      </c>
      <c r="O38" s="101">
        <v>-99293459.840000004</v>
      </c>
      <c r="P38" s="117">
        <v>41388921.666666664</v>
      </c>
      <c r="Q38" s="117">
        <v>-0.56608933131180494</v>
      </c>
      <c r="R38" s="117">
        <v>-36743228.99000001</v>
      </c>
      <c r="S38" s="117">
        <v>-0.88775516516033925</v>
      </c>
      <c r="T38" s="35" t="s">
        <v>53</v>
      </c>
      <c r="U38" s="24" t="s">
        <v>52</v>
      </c>
      <c r="V38" s="35" t="s">
        <v>52</v>
      </c>
      <c r="W38" s="110">
        <v>4</v>
      </c>
      <c r="X38" s="27" t="s">
        <v>76</v>
      </c>
    </row>
    <row r="39" spans="1:24" s="28" customFormat="1" ht="11.4" x14ac:dyDescent="0.2">
      <c r="A39" s="20">
        <v>37</v>
      </c>
      <c r="B39" s="20" t="s">
        <v>30</v>
      </c>
      <c r="C39" s="20" t="s">
        <v>149</v>
      </c>
      <c r="D39" s="34" t="s">
        <v>150</v>
      </c>
      <c r="E39" s="100">
        <v>114100470</v>
      </c>
      <c r="F39" s="100">
        <v>113254370</v>
      </c>
      <c r="G39" s="101">
        <v>846100</v>
      </c>
      <c r="H39" s="94" t="s">
        <v>55</v>
      </c>
      <c r="I39" s="117">
        <v>169220</v>
      </c>
      <c r="J39" s="101">
        <v>3171370</v>
      </c>
      <c r="K39" s="117">
        <v>374.82212504432101</v>
      </c>
      <c r="L39" s="117">
        <v>-3002150</v>
      </c>
      <c r="M39" s="23" t="s">
        <v>286</v>
      </c>
      <c r="N39" s="101">
        <v>-3765071.7900000019</v>
      </c>
      <c r="O39" s="101">
        <v>-11286118.410000006</v>
      </c>
      <c r="P39" s="117">
        <v>9437864.166666666</v>
      </c>
      <c r="Q39" s="117">
        <v>-0.39893261054739015</v>
      </c>
      <c r="R39" s="117">
        <v>-6767221.7900000019</v>
      </c>
      <c r="S39" s="117">
        <v>-0.71702894537314565</v>
      </c>
      <c r="T39" s="35" t="s">
        <v>53</v>
      </c>
      <c r="U39" s="24" t="s">
        <v>52</v>
      </c>
      <c r="V39" s="35" t="s">
        <v>52</v>
      </c>
      <c r="W39" s="110">
        <v>4</v>
      </c>
      <c r="X39" s="27" t="s">
        <v>76</v>
      </c>
    </row>
    <row r="40" spans="1:24" s="28" customFormat="1" ht="11.4" x14ac:dyDescent="0.2">
      <c r="A40" s="20">
        <v>38</v>
      </c>
      <c r="B40" s="20" t="s">
        <v>30</v>
      </c>
      <c r="C40" s="20" t="s">
        <v>151</v>
      </c>
      <c r="D40" s="34" t="s">
        <v>152</v>
      </c>
      <c r="E40" s="100">
        <v>147063790</v>
      </c>
      <c r="F40" s="100">
        <v>144591960</v>
      </c>
      <c r="G40" s="101">
        <v>2471830</v>
      </c>
      <c r="H40" s="94" t="s">
        <v>55</v>
      </c>
      <c r="I40" s="117">
        <v>494366</v>
      </c>
      <c r="J40" s="101">
        <v>9741310</v>
      </c>
      <c r="K40" s="117">
        <v>394.09304037899045</v>
      </c>
      <c r="L40" s="117">
        <v>-9246944</v>
      </c>
      <c r="M40" s="23" t="s">
        <v>286</v>
      </c>
      <c r="N40" s="101">
        <v>-5334317.42</v>
      </c>
      <c r="O40" s="101">
        <v>-8658094.1099999994</v>
      </c>
      <c r="P40" s="117">
        <v>12049330</v>
      </c>
      <c r="Q40" s="117">
        <v>-0.44270655878791598</v>
      </c>
      <c r="R40" s="117">
        <v>-14581261.42</v>
      </c>
      <c r="S40" s="117">
        <v>-1.2101304736445926</v>
      </c>
      <c r="T40" s="35" t="s">
        <v>53</v>
      </c>
      <c r="U40" s="24" t="s">
        <v>52</v>
      </c>
      <c r="V40" s="35" t="s">
        <v>52</v>
      </c>
      <c r="W40" s="110">
        <v>4</v>
      </c>
      <c r="X40" s="27" t="s">
        <v>76</v>
      </c>
    </row>
    <row r="41" spans="1:24" s="28" customFormat="1" ht="11.4" x14ac:dyDescent="0.2">
      <c r="A41" s="29">
        <v>39</v>
      </c>
      <c r="B41" s="20" t="s">
        <v>30</v>
      </c>
      <c r="C41" s="20" t="s">
        <v>153</v>
      </c>
      <c r="D41" s="34" t="s">
        <v>154</v>
      </c>
      <c r="E41" s="100">
        <v>161421895</v>
      </c>
      <c r="F41" s="100">
        <v>148797560</v>
      </c>
      <c r="G41" s="101">
        <v>12624335</v>
      </c>
      <c r="H41" s="94" t="s">
        <v>55</v>
      </c>
      <c r="I41" s="117">
        <v>2524867</v>
      </c>
      <c r="J41" s="101">
        <v>1616090</v>
      </c>
      <c r="K41" s="117">
        <v>12.801387162175276</v>
      </c>
      <c r="L41" s="117">
        <v>908777</v>
      </c>
      <c r="M41" s="23" t="s">
        <v>287</v>
      </c>
      <c r="N41" s="101">
        <v>-8084691.7300000042</v>
      </c>
      <c r="O41" s="101">
        <v>-17662772.290000003</v>
      </c>
      <c r="P41" s="117">
        <v>12399796.666666666</v>
      </c>
      <c r="Q41" s="117">
        <v>-0.6520019599783764</v>
      </c>
      <c r="R41" s="117">
        <v>-7175914.7300000042</v>
      </c>
      <c r="S41" s="117">
        <v>-0.57871229044347272</v>
      </c>
      <c r="T41" s="35" t="s">
        <v>53</v>
      </c>
      <c r="U41" s="24" t="s">
        <v>53</v>
      </c>
      <c r="V41" s="35" t="s">
        <v>52</v>
      </c>
      <c r="W41" s="110">
        <v>2</v>
      </c>
      <c r="X41" s="27" t="s">
        <v>56</v>
      </c>
    </row>
    <row r="42" spans="1:24" s="28" customFormat="1" ht="11.4" x14ac:dyDescent="0.2">
      <c r="A42" s="20">
        <v>40</v>
      </c>
      <c r="B42" s="20" t="s">
        <v>30</v>
      </c>
      <c r="C42" s="20" t="s">
        <v>155</v>
      </c>
      <c r="D42" s="34" t="s">
        <v>156</v>
      </c>
      <c r="E42" s="100">
        <v>157823090</v>
      </c>
      <c r="F42" s="100">
        <v>157486270</v>
      </c>
      <c r="G42" s="101">
        <v>336820</v>
      </c>
      <c r="H42" s="94" t="s">
        <v>55</v>
      </c>
      <c r="I42" s="117">
        <v>67364</v>
      </c>
      <c r="J42" s="101">
        <v>0</v>
      </c>
      <c r="K42" s="117">
        <v>0</v>
      </c>
      <c r="L42" s="117">
        <v>67364</v>
      </c>
      <c r="M42" s="23" t="s">
        <v>287</v>
      </c>
      <c r="N42" s="101">
        <v>-14261340.840000002</v>
      </c>
      <c r="O42" s="101">
        <v>-24384886.590000004</v>
      </c>
      <c r="P42" s="117">
        <v>13123855.833333334</v>
      </c>
      <c r="Q42" s="117">
        <v>-1.086673080008816</v>
      </c>
      <c r="R42" s="117">
        <v>-14193976.840000002</v>
      </c>
      <c r="S42" s="117">
        <v>-1.0815401373084779</v>
      </c>
      <c r="T42" s="35" t="s">
        <v>53</v>
      </c>
      <c r="U42" s="24" t="s">
        <v>53</v>
      </c>
      <c r="V42" s="35" t="s">
        <v>52</v>
      </c>
      <c r="W42" s="110">
        <v>2</v>
      </c>
      <c r="X42" s="27" t="s">
        <v>56</v>
      </c>
    </row>
    <row r="43" spans="1:24" s="28" customFormat="1" ht="11.4" x14ac:dyDescent="0.2">
      <c r="A43" s="20">
        <v>41</v>
      </c>
      <c r="B43" s="20" t="s">
        <v>30</v>
      </c>
      <c r="C43" s="20" t="s">
        <v>157</v>
      </c>
      <c r="D43" s="34" t="s">
        <v>158</v>
      </c>
      <c r="E43" s="100">
        <v>310560580</v>
      </c>
      <c r="F43" s="100">
        <v>303354440</v>
      </c>
      <c r="G43" s="101">
        <v>7206140</v>
      </c>
      <c r="H43" s="94" t="s">
        <v>55</v>
      </c>
      <c r="I43" s="117">
        <v>1441228</v>
      </c>
      <c r="J43" s="101">
        <v>24593410</v>
      </c>
      <c r="K43" s="117">
        <v>341.28409939301758</v>
      </c>
      <c r="L43" s="117">
        <v>-23152182</v>
      </c>
      <c r="M43" s="23" t="s">
        <v>286</v>
      </c>
      <c r="N43" s="101">
        <v>5774378.8700000038</v>
      </c>
      <c r="O43" s="101">
        <v>-28318231.990000002</v>
      </c>
      <c r="P43" s="117">
        <v>25279536.666666668</v>
      </c>
      <c r="Q43" s="117">
        <v>0.22842107219528432</v>
      </c>
      <c r="R43" s="117">
        <v>-17377803.129999995</v>
      </c>
      <c r="S43" s="117">
        <v>-0.68742569767562967</v>
      </c>
      <c r="T43" s="35" t="s">
        <v>53</v>
      </c>
      <c r="U43" s="24" t="s">
        <v>52</v>
      </c>
      <c r="V43" s="35" t="s">
        <v>52</v>
      </c>
      <c r="W43" s="110">
        <v>4</v>
      </c>
      <c r="X43" s="27" t="s">
        <v>76</v>
      </c>
    </row>
    <row r="44" spans="1:24" s="28" customFormat="1" ht="11.4" x14ac:dyDescent="0.2">
      <c r="A44" s="29">
        <v>42</v>
      </c>
      <c r="B44" s="20" t="s">
        <v>30</v>
      </c>
      <c r="C44" s="20" t="s">
        <v>159</v>
      </c>
      <c r="D44" s="34" t="s">
        <v>160</v>
      </c>
      <c r="E44" s="100">
        <v>75395790</v>
      </c>
      <c r="F44" s="100">
        <v>67184660</v>
      </c>
      <c r="G44" s="101">
        <v>8211130</v>
      </c>
      <c r="H44" s="94" t="s">
        <v>55</v>
      </c>
      <c r="I44" s="117">
        <v>1642226</v>
      </c>
      <c r="J44" s="101">
        <v>0</v>
      </c>
      <c r="K44" s="117">
        <v>0</v>
      </c>
      <c r="L44" s="117">
        <v>1642226</v>
      </c>
      <c r="M44" s="23" t="s">
        <v>287</v>
      </c>
      <c r="N44" s="101">
        <v>-8900126.8100000042</v>
      </c>
      <c r="O44" s="101">
        <v>-12529293.550000001</v>
      </c>
      <c r="P44" s="117">
        <v>5598721.666666667</v>
      </c>
      <c r="Q44" s="117">
        <v>-1.5896712392382435</v>
      </c>
      <c r="R44" s="117">
        <v>-7257900.8100000042</v>
      </c>
      <c r="S44" s="117">
        <v>-1.2963496387419398</v>
      </c>
      <c r="T44" s="35" t="s">
        <v>53</v>
      </c>
      <c r="U44" s="24" t="s">
        <v>53</v>
      </c>
      <c r="V44" s="35" t="s">
        <v>52</v>
      </c>
      <c r="W44" s="110">
        <v>2</v>
      </c>
      <c r="X44" s="27" t="s">
        <v>56</v>
      </c>
    </row>
    <row r="45" spans="1:24" s="28" customFormat="1" ht="11.4" x14ac:dyDescent="0.2">
      <c r="A45" s="20">
        <v>43</v>
      </c>
      <c r="B45" s="20" t="s">
        <v>30</v>
      </c>
      <c r="C45" s="20" t="s">
        <v>161</v>
      </c>
      <c r="D45" s="34" t="s">
        <v>162</v>
      </c>
      <c r="E45" s="100">
        <v>163327890</v>
      </c>
      <c r="F45" s="100">
        <v>163126530</v>
      </c>
      <c r="G45" s="101">
        <v>201360</v>
      </c>
      <c r="H45" s="94" t="s">
        <v>55</v>
      </c>
      <c r="I45" s="117">
        <v>40272</v>
      </c>
      <c r="J45" s="101">
        <v>0</v>
      </c>
      <c r="K45" s="117">
        <v>0</v>
      </c>
      <c r="L45" s="117">
        <v>40272</v>
      </c>
      <c r="M45" s="23" t="s">
        <v>287</v>
      </c>
      <c r="N45" s="101">
        <v>-4549007.7400000012</v>
      </c>
      <c r="O45" s="101">
        <v>-13780305.520000001</v>
      </c>
      <c r="P45" s="117">
        <v>13593877.5</v>
      </c>
      <c r="Q45" s="117">
        <v>-0.33463651117938947</v>
      </c>
      <c r="R45" s="117">
        <v>-4508735.7400000012</v>
      </c>
      <c r="S45" s="117">
        <v>-0.33167400103465705</v>
      </c>
      <c r="T45" s="35" t="s">
        <v>53</v>
      </c>
      <c r="U45" s="24" t="s">
        <v>53</v>
      </c>
      <c r="V45" s="35" t="s">
        <v>52</v>
      </c>
      <c r="W45" s="110">
        <v>2</v>
      </c>
      <c r="X45" s="27" t="s">
        <v>56</v>
      </c>
    </row>
    <row r="46" spans="1:24" s="28" customFormat="1" ht="11.4" x14ac:dyDescent="0.2">
      <c r="A46" s="20">
        <v>44</v>
      </c>
      <c r="B46" s="20" t="s">
        <v>30</v>
      </c>
      <c r="C46" s="20" t="s">
        <v>163</v>
      </c>
      <c r="D46" s="34" t="s">
        <v>164</v>
      </c>
      <c r="E46" s="100">
        <v>104693630</v>
      </c>
      <c r="F46" s="100">
        <v>104612660</v>
      </c>
      <c r="G46" s="101">
        <v>80970</v>
      </c>
      <c r="H46" s="94" t="s">
        <v>55</v>
      </c>
      <c r="I46" s="117">
        <v>16194</v>
      </c>
      <c r="J46" s="101">
        <v>0</v>
      </c>
      <c r="K46" s="117">
        <v>0</v>
      </c>
      <c r="L46" s="117">
        <v>16194</v>
      </c>
      <c r="M46" s="23" t="s">
        <v>287</v>
      </c>
      <c r="N46" s="101">
        <v>-4008866.7099999981</v>
      </c>
      <c r="O46" s="101">
        <v>-9370773.3399999999</v>
      </c>
      <c r="P46" s="117">
        <v>8717721.666666666</v>
      </c>
      <c r="Q46" s="117">
        <v>-0.45985256966030669</v>
      </c>
      <c r="R46" s="117">
        <v>-3992672.7099999981</v>
      </c>
      <c r="S46" s="117">
        <v>-0.45799497422204904</v>
      </c>
      <c r="T46" s="35" t="s">
        <v>53</v>
      </c>
      <c r="U46" s="24" t="s">
        <v>53</v>
      </c>
      <c r="V46" s="35" t="s">
        <v>52</v>
      </c>
      <c r="W46" s="110">
        <v>2</v>
      </c>
      <c r="X46" s="27" t="s">
        <v>56</v>
      </c>
    </row>
    <row r="47" spans="1:24" s="28" customFormat="1" ht="11.4" x14ac:dyDescent="0.2">
      <c r="A47" s="29">
        <v>45</v>
      </c>
      <c r="B47" s="20" t="s">
        <v>30</v>
      </c>
      <c r="C47" s="20" t="s">
        <v>165</v>
      </c>
      <c r="D47" s="34" t="s">
        <v>166</v>
      </c>
      <c r="E47" s="100">
        <v>164270480</v>
      </c>
      <c r="F47" s="100">
        <v>162478070</v>
      </c>
      <c r="G47" s="101">
        <v>1792410</v>
      </c>
      <c r="H47" s="94" t="s">
        <v>55</v>
      </c>
      <c r="I47" s="117">
        <v>358482</v>
      </c>
      <c r="J47" s="101">
        <v>316540</v>
      </c>
      <c r="K47" s="117">
        <v>17.660021981577874</v>
      </c>
      <c r="L47" s="117">
        <v>41942</v>
      </c>
      <c r="M47" s="23" t="s">
        <v>287</v>
      </c>
      <c r="N47" s="101">
        <v>-11533281.060000004</v>
      </c>
      <c r="O47" s="101">
        <v>-23609005.479999997</v>
      </c>
      <c r="P47" s="117">
        <v>13539839.166666666</v>
      </c>
      <c r="Q47" s="117">
        <v>-0.85180340165291268</v>
      </c>
      <c r="R47" s="117">
        <v>-11491339.060000004</v>
      </c>
      <c r="S47" s="117">
        <v>-0.84870572822535406</v>
      </c>
      <c r="T47" s="35" t="s">
        <v>53</v>
      </c>
      <c r="U47" s="24" t="s">
        <v>53</v>
      </c>
      <c r="V47" s="35" t="s">
        <v>52</v>
      </c>
      <c r="W47" s="110">
        <v>2</v>
      </c>
      <c r="X47" s="27" t="s">
        <v>56</v>
      </c>
    </row>
    <row r="48" spans="1:24" s="28" customFormat="1" ht="11.4" x14ac:dyDescent="0.2">
      <c r="A48" s="20">
        <v>46</v>
      </c>
      <c r="B48" s="20" t="s">
        <v>30</v>
      </c>
      <c r="C48" s="20" t="s">
        <v>167</v>
      </c>
      <c r="D48" s="34" t="s">
        <v>168</v>
      </c>
      <c r="E48" s="100">
        <v>121390210</v>
      </c>
      <c r="F48" s="100">
        <v>120790510</v>
      </c>
      <c r="G48" s="101">
        <v>599700</v>
      </c>
      <c r="H48" s="94" t="s">
        <v>55</v>
      </c>
      <c r="I48" s="117">
        <v>119940</v>
      </c>
      <c r="J48" s="101">
        <v>0</v>
      </c>
      <c r="K48" s="117">
        <v>0</v>
      </c>
      <c r="L48" s="117">
        <v>119940</v>
      </c>
      <c r="M48" s="23" t="s">
        <v>287</v>
      </c>
      <c r="N48" s="101">
        <v>104251224</v>
      </c>
      <c r="O48" s="101">
        <v>28669910</v>
      </c>
      <c r="P48" s="117">
        <v>10065875.833333334</v>
      </c>
      <c r="Q48" s="117">
        <v>10.356895487898841</v>
      </c>
      <c r="R48" s="117">
        <v>104131284</v>
      </c>
      <c r="S48" s="117">
        <v>10.344979982285032</v>
      </c>
      <c r="T48" s="35" t="s">
        <v>53</v>
      </c>
      <c r="U48" s="24" t="s">
        <v>53</v>
      </c>
      <c r="V48" s="35" t="s">
        <v>53</v>
      </c>
      <c r="W48" s="110">
        <v>1</v>
      </c>
      <c r="X48" s="99" t="s">
        <v>104</v>
      </c>
    </row>
    <row r="49" spans="1:24" s="28" customFormat="1" ht="11.4" x14ac:dyDescent="0.2">
      <c r="A49" s="20">
        <v>47</v>
      </c>
      <c r="B49" s="20" t="s">
        <v>31</v>
      </c>
      <c r="C49" s="20" t="s">
        <v>169</v>
      </c>
      <c r="D49" s="34" t="s">
        <v>170</v>
      </c>
      <c r="E49" s="123">
        <v>1744245909</v>
      </c>
      <c r="F49" s="123">
        <v>1566788094.8699999</v>
      </c>
      <c r="G49" s="123">
        <v>177457814.13000011</v>
      </c>
      <c r="H49" s="94" t="s">
        <v>55</v>
      </c>
      <c r="I49" s="113">
        <v>35491562.826000027</v>
      </c>
      <c r="J49" s="123">
        <v>29396000</v>
      </c>
      <c r="K49" s="113">
        <v>16.565063727464487</v>
      </c>
      <c r="L49" s="113">
        <v>6095562.8260000274</v>
      </c>
      <c r="M49" s="23" t="s">
        <v>287</v>
      </c>
      <c r="N49" s="123">
        <v>341607347.69999993</v>
      </c>
      <c r="O49" s="123">
        <v>-75930860.370000005</v>
      </c>
      <c r="P49" s="113">
        <v>130565674.57249999</v>
      </c>
      <c r="Q49" s="113">
        <v>2.6163641310665735</v>
      </c>
      <c r="R49" s="113">
        <v>335511784.87399989</v>
      </c>
      <c r="S49" s="113">
        <v>2.5696783321691354</v>
      </c>
      <c r="T49" s="24" t="s">
        <v>53</v>
      </c>
      <c r="U49" s="24" t="s">
        <v>53</v>
      </c>
      <c r="V49" s="24" t="s">
        <v>53</v>
      </c>
      <c r="W49" s="110">
        <v>1</v>
      </c>
      <c r="X49" s="99" t="s">
        <v>104</v>
      </c>
    </row>
    <row r="50" spans="1:24" s="28" customFormat="1" ht="11.4" x14ac:dyDescent="0.2">
      <c r="A50" s="29">
        <v>48</v>
      </c>
      <c r="B50" s="20" t="s">
        <v>31</v>
      </c>
      <c r="C50" s="20" t="s">
        <v>171</v>
      </c>
      <c r="D50" s="34" t="s">
        <v>172</v>
      </c>
      <c r="E50" s="113">
        <v>191876754.32999998</v>
      </c>
      <c r="F50" s="113">
        <v>186177348.72</v>
      </c>
      <c r="G50" s="113">
        <v>5699405.6099999845</v>
      </c>
      <c r="H50" s="94" t="s">
        <v>55</v>
      </c>
      <c r="I50" s="113">
        <v>1139881.1219999969</v>
      </c>
      <c r="J50" s="121">
        <v>950000</v>
      </c>
      <c r="K50" s="124">
        <v>16.668404830376733</v>
      </c>
      <c r="L50" s="113">
        <v>189881.12199999695</v>
      </c>
      <c r="M50" s="30" t="s">
        <v>287</v>
      </c>
      <c r="N50" s="113">
        <v>4866851.0399999982</v>
      </c>
      <c r="O50" s="113">
        <v>-8835952.3399999999</v>
      </c>
      <c r="P50" s="113">
        <v>15514779.060000001</v>
      </c>
      <c r="Q50" s="113">
        <v>0.31369128887872144</v>
      </c>
      <c r="R50" s="113">
        <v>4676969.9180000015</v>
      </c>
      <c r="S50" s="113">
        <v>0.30145256338571419</v>
      </c>
      <c r="T50" s="24" t="s">
        <v>53</v>
      </c>
      <c r="U50" s="24" t="s">
        <v>53</v>
      </c>
      <c r="V50" s="24" t="s">
        <v>52</v>
      </c>
      <c r="W50" s="110">
        <v>2</v>
      </c>
      <c r="X50" s="27" t="s">
        <v>56</v>
      </c>
    </row>
    <row r="51" spans="1:24" s="28" customFormat="1" ht="11.4" x14ac:dyDescent="0.2">
      <c r="A51" s="20">
        <v>49</v>
      </c>
      <c r="B51" s="20" t="s">
        <v>31</v>
      </c>
      <c r="C51" s="20" t="s">
        <v>173</v>
      </c>
      <c r="D51" s="34" t="s">
        <v>174</v>
      </c>
      <c r="E51" s="113">
        <v>153651231.44999999</v>
      </c>
      <c r="F51" s="113">
        <v>150854201.11000001</v>
      </c>
      <c r="G51" s="113">
        <v>2797030.3399999738</v>
      </c>
      <c r="H51" s="94" t="s">
        <v>55</v>
      </c>
      <c r="I51" s="113">
        <v>559406.06799999473</v>
      </c>
      <c r="J51" s="113">
        <v>3100385.92</v>
      </c>
      <c r="K51" s="113">
        <v>110.84563065554838</v>
      </c>
      <c r="L51" s="113">
        <v>-2540979.8520000051</v>
      </c>
      <c r="M51" s="23" t="s">
        <v>286</v>
      </c>
      <c r="N51" s="113">
        <v>2437680.7800000003</v>
      </c>
      <c r="O51" s="113">
        <v>-12176122.309999999</v>
      </c>
      <c r="P51" s="113">
        <v>12571183.425833335</v>
      </c>
      <c r="Q51" s="113">
        <v>0.19391020697308839</v>
      </c>
      <c r="R51" s="113">
        <v>4978660.6320000049</v>
      </c>
      <c r="S51" s="113">
        <v>0.39603754581840195</v>
      </c>
      <c r="T51" s="24" t="s">
        <v>53</v>
      </c>
      <c r="U51" s="24" t="s">
        <v>52</v>
      </c>
      <c r="V51" s="24" t="s">
        <v>52</v>
      </c>
      <c r="W51" s="110">
        <v>4</v>
      </c>
      <c r="X51" s="27" t="s">
        <v>76</v>
      </c>
    </row>
    <row r="52" spans="1:24" s="28" customFormat="1" ht="11.4" x14ac:dyDescent="0.2">
      <c r="A52" s="20">
        <v>50</v>
      </c>
      <c r="B52" s="20" t="s">
        <v>31</v>
      </c>
      <c r="C52" s="20" t="s">
        <v>175</v>
      </c>
      <c r="D52" s="34" t="s">
        <v>176</v>
      </c>
      <c r="E52" s="113">
        <v>272275700</v>
      </c>
      <c r="F52" s="113">
        <v>266106053.81</v>
      </c>
      <c r="G52" s="113">
        <v>6169646.1899999976</v>
      </c>
      <c r="H52" s="94" t="s">
        <v>55</v>
      </c>
      <c r="I52" s="113">
        <v>1233929.2379999997</v>
      </c>
      <c r="J52" s="113">
        <v>4212084.5999999996</v>
      </c>
      <c r="K52" s="113">
        <v>68.27108832962108</v>
      </c>
      <c r="L52" s="113">
        <v>-2978155.3619999997</v>
      </c>
      <c r="M52" s="23" t="s">
        <v>286</v>
      </c>
      <c r="N52" s="113">
        <v>43065291.320000015</v>
      </c>
      <c r="O52" s="113">
        <v>16145543.08</v>
      </c>
      <c r="P52" s="113">
        <v>22175504.484166667</v>
      </c>
      <c r="Q52" s="113">
        <v>1.9420208162907264</v>
      </c>
      <c r="R52" s="113">
        <v>46043446.682000011</v>
      </c>
      <c r="S52" s="113">
        <v>2.0763201448190314</v>
      </c>
      <c r="T52" s="24" t="s">
        <v>53</v>
      </c>
      <c r="U52" s="24" t="s">
        <v>52</v>
      </c>
      <c r="V52" s="24" t="s">
        <v>53</v>
      </c>
      <c r="W52" s="110">
        <v>3</v>
      </c>
      <c r="X52" s="99" t="s">
        <v>57</v>
      </c>
    </row>
    <row r="53" spans="1:24" s="28" customFormat="1" ht="11.4" x14ac:dyDescent="0.2">
      <c r="A53" s="29">
        <v>51</v>
      </c>
      <c r="B53" s="20" t="s">
        <v>31</v>
      </c>
      <c r="C53" s="20" t="s">
        <v>177</v>
      </c>
      <c r="D53" s="34" t="s">
        <v>178</v>
      </c>
      <c r="E53" s="113">
        <v>181800006.15200001</v>
      </c>
      <c r="F53" s="113">
        <v>177192918.42099997</v>
      </c>
      <c r="G53" s="113">
        <v>4607087.731000036</v>
      </c>
      <c r="H53" s="94" t="s">
        <v>55</v>
      </c>
      <c r="I53" s="113">
        <v>921417.5462000072</v>
      </c>
      <c r="J53" s="113">
        <v>0</v>
      </c>
      <c r="K53" s="113">
        <v>0</v>
      </c>
      <c r="L53" s="113">
        <v>921417.5462000072</v>
      </c>
      <c r="M53" s="30" t="s">
        <v>287</v>
      </c>
      <c r="N53" s="113">
        <v>24012910.460000001</v>
      </c>
      <c r="O53" s="113">
        <v>9094733.2599999998</v>
      </c>
      <c r="P53" s="113">
        <v>14766076.535083331</v>
      </c>
      <c r="Q53" s="113">
        <v>1.626221454490415</v>
      </c>
      <c r="R53" s="113">
        <v>23091492.913799994</v>
      </c>
      <c r="S53" s="113">
        <v>1.5638204812860046</v>
      </c>
      <c r="T53" s="24" t="s">
        <v>53</v>
      </c>
      <c r="U53" s="24" t="s">
        <v>53</v>
      </c>
      <c r="V53" s="24" t="s">
        <v>53</v>
      </c>
      <c r="W53" s="110">
        <v>1</v>
      </c>
      <c r="X53" s="99" t="s">
        <v>104</v>
      </c>
    </row>
    <row r="54" spans="1:24" s="28" customFormat="1" ht="11.4" x14ac:dyDescent="0.2">
      <c r="A54" s="20">
        <v>52</v>
      </c>
      <c r="B54" s="20" t="s">
        <v>31</v>
      </c>
      <c r="C54" s="20" t="s">
        <v>179</v>
      </c>
      <c r="D54" s="34" t="s">
        <v>180</v>
      </c>
      <c r="E54" s="113">
        <v>147816342.94</v>
      </c>
      <c r="F54" s="113">
        <v>130097276</v>
      </c>
      <c r="G54" s="113">
        <v>17719066.939999998</v>
      </c>
      <c r="H54" s="94" t="s">
        <v>55</v>
      </c>
      <c r="I54" s="113">
        <v>3543813.3879999998</v>
      </c>
      <c r="J54" s="113">
        <v>396500</v>
      </c>
      <c r="K54" s="113">
        <v>2.2377024780290156</v>
      </c>
      <c r="L54" s="113">
        <v>3147313.3879999998</v>
      </c>
      <c r="M54" s="30" t="s">
        <v>287</v>
      </c>
      <c r="N54" s="113">
        <v>-386948.95999999857</v>
      </c>
      <c r="O54" s="113">
        <v>-8844993.679999996</v>
      </c>
      <c r="P54" s="113">
        <v>10841439.666666666</v>
      </c>
      <c r="Q54" s="113">
        <v>-3.5691658294213502E-2</v>
      </c>
      <c r="R54" s="113">
        <v>-3534262.3479999984</v>
      </c>
      <c r="S54" s="113">
        <v>-0.32599566631971588</v>
      </c>
      <c r="T54" s="24" t="s">
        <v>53</v>
      </c>
      <c r="U54" s="24" t="s">
        <v>53</v>
      </c>
      <c r="V54" s="24" t="s">
        <v>52</v>
      </c>
      <c r="W54" s="110">
        <v>2</v>
      </c>
      <c r="X54" s="27" t="s">
        <v>56</v>
      </c>
    </row>
    <row r="55" spans="1:24" s="28" customFormat="1" ht="11.4" x14ac:dyDescent="0.2">
      <c r="A55" s="20">
        <v>53</v>
      </c>
      <c r="B55" s="20" t="s">
        <v>31</v>
      </c>
      <c r="C55" s="20" t="s">
        <v>181</v>
      </c>
      <c r="D55" s="34" t="s">
        <v>182</v>
      </c>
      <c r="E55" s="113">
        <v>104802230.90000001</v>
      </c>
      <c r="F55" s="113">
        <v>104227582.95999999</v>
      </c>
      <c r="G55" s="113">
        <v>574647.94000001252</v>
      </c>
      <c r="H55" s="94" t="s">
        <v>55</v>
      </c>
      <c r="I55" s="113">
        <v>114929.58800000251</v>
      </c>
      <c r="J55" s="113">
        <v>0</v>
      </c>
      <c r="K55" s="113">
        <v>0</v>
      </c>
      <c r="L55" s="113">
        <v>114929.58800000251</v>
      </c>
      <c r="M55" s="30" t="s">
        <v>287</v>
      </c>
      <c r="N55" s="113">
        <v>2511760.1899999995</v>
      </c>
      <c r="O55" s="113">
        <v>-2865886.9200000018</v>
      </c>
      <c r="P55" s="113">
        <v>8685631.9133333322</v>
      </c>
      <c r="Q55" s="113">
        <v>0.28918565915096989</v>
      </c>
      <c r="R55" s="113">
        <v>2396830.6019999972</v>
      </c>
      <c r="S55" s="113">
        <v>0.27595350872751323</v>
      </c>
      <c r="T55" s="24" t="s">
        <v>53</v>
      </c>
      <c r="U55" s="24" t="s">
        <v>53</v>
      </c>
      <c r="V55" s="24" t="s">
        <v>52</v>
      </c>
      <c r="W55" s="110">
        <v>2</v>
      </c>
      <c r="X55" s="27" t="s">
        <v>56</v>
      </c>
    </row>
    <row r="56" spans="1:24" s="28" customFormat="1" ht="11.4" x14ac:dyDescent="0.2">
      <c r="A56" s="29">
        <v>54</v>
      </c>
      <c r="B56" s="20" t="s">
        <v>31</v>
      </c>
      <c r="C56" s="20" t="s">
        <v>183</v>
      </c>
      <c r="D56" s="34" t="s">
        <v>184</v>
      </c>
      <c r="E56" s="113">
        <v>192874795.25</v>
      </c>
      <c r="F56" s="113">
        <v>169767533.93000001</v>
      </c>
      <c r="G56" s="113">
        <v>23107261.319999993</v>
      </c>
      <c r="H56" s="94" t="s">
        <v>55</v>
      </c>
      <c r="I56" s="113">
        <v>4621452.2639999986</v>
      </c>
      <c r="J56" s="113">
        <v>1655718.62</v>
      </c>
      <c r="K56" s="113">
        <v>7.1653606936401788</v>
      </c>
      <c r="L56" s="113">
        <v>2965733.6439999985</v>
      </c>
      <c r="M56" s="23" t="s">
        <v>287</v>
      </c>
      <c r="N56" s="113">
        <v>4617020.5699999956</v>
      </c>
      <c r="O56" s="113">
        <v>-10479233.269999998</v>
      </c>
      <c r="P56" s="113">
        <v>14147294.494166667</v>
      </c>
      <c r="Q56" s="113">
        <v>0.32635360576566247</v>
      </c>
      <c r="R56" s="113">
        <v>1651286.9259999972</v>
      </c>
      <c r="S56" s="113">
        <v>0.11672103996144775</v>
      </c>
      <c r="T56" s="24" t="s">
        <v>53</v>
      </c>
      <c r="U56" s="24" t="s">
        <v>53</v>
      </c>
      <c r="V56" s="24" t="s">
        <v>52</v>
      </c>
      <c r="W56" s="110">
        <v>2</v>
      </c>
      <c r="X56" s="27" t="s">
        <v>56</v>
      </c>
    </row>
    <row r="57" spans="1:24" s="56" customFormat="1" ht="11.4" x14ac:dyDescent="0.2">
      <c r="A57" s="54">
        <v>55</v>
      </c>
      <c r="B57" s="54" t="s">
        <v>32</v>
      </c>
      <c r="C57" s="54" t="s">
        <v>185</v>
      </c>
      <c r="D57" s="55" t="s">
        <v>186</v>
      </c>
      <c r="E57" s="133">
        <v>2141582045.7499998</v>
      </c>
      <c r="F57" s="133">
        <v>1825471651.3299999</v>
      </c>
      <c r="G57" s="134">
        <v>316110394.41999984</v>
      </c>
      <c r="H57" s="95" t="s">
        <v>55</v>
      </c>
      <c r="I57" s="132">
        <v>63222078.890000001</v>
      </c>
      <c r="J57" s="132">
        <v>44090053.859999999</v>
      </c>
      <c r="K57" s="134">
        <v>13.94767607718074</v>
      </c>
      <c r="L57" s="134">
        <v>19132025.030000001</v>
      </c>
      <c r="M57" s="23" t="s">
        <v>287</v>
      </c>
      <c r="N57" s="132">
        <v>252581270.35999995</v>
      </c>
      <c r="O57" s="132">
        <v>-55760720.799999952</v>
      </c>
      <c r="P57" s="134">
        <v>152122637.61083332</v>
      </c>
      <c r="Q57" s="135">
        <v>1.6603792461590381</v>
      </c>
      <c r="R57" s="134">
        <v>233449245.32999995</v>
      </c>
      <c r="S57" s="134">
        <v>1.5346121326611484</v>
      </c>
      <c r="T57" s="24" t="s">
        <v>53</v>
      </c>
      <c r="U57" s="24" t="s">
        <v>53</v>
      </c>
      <c r="V57" s="25" t="s">
        <v>53</v>
      </c>
      <c r="W57" s="110">
        <v>1</v>
      </c>
      <c r="X57" s="27"/>
    </row>
    <row r="58" spans="1:24" s="56" customFormat="1" ht="11.4" x14ac:dyDescent="0.2">
      <c r="A58" s="54">
        <v>56</v>
      </c>
      <c r="B58" s="54" t="s">
        <v>32</v>
      </c>
      <c r="C58" s="54" t="s">
        <v>187</v>
      </c>
      <c r="D58" s="55" t="s">
        <v>188</v>
      </c>
      <c r="E58" s="133">
        <v>74912801.510000005</v>
      </c>
      <c r="F58" s="133">
        <v>70771691.030000001</v>
      </c>
      <c r="G58" s="132">
        <v>4141110.48</v>
      </c>
      <c r="H58" s="95" t="s">
        <v>55</v>
      </c>
      <c r="I58" s="132">
        <v>828222.1</v>
      </c>
      <c r="J58" s="132">
        <v>635598</v>
      </c>
      <c r="K58" s="132">
        <v>15.35</v>
      </c>
      <c r="L58" s="132">
        <v>192624.1</v>
      </c>
      <c r="M58" s="108" t="s">
        <v>287</v>
      </c>
      <c r="N58" s="132">
        <v>724332.5</v>
      </c>
      <c r="O58" s="132">
        <v>-2917002.08</v>
      </c>
      <c r="P58" s="132">
        <v>5897640.9199999999</v>
      </c>
      <c r="Q58" s="132">
        <v>0.12</v>
      </c>
      <c r="R58" s="136">
        <v>531708.4</v>
      </c>
      <c r="S58" s="132">
        <v>0.09</v>
      </c>
      <c r="T58" s="107" t="s">
        <v>53</v>
      </c>
      <c r="U58" s="107" t="s">
        <v>53</v>
      </c>
      <c r="V58" s="107" t="s">
        <v>52</v>
      </c>
      <c r="W58" s="110">
        <v>2</v>
      </c>
      <c r="X58" s="99"/>
    </row>
    <row r="59" spans="1:24" s="56" customFormat="1" ht="11.4" x14ac:dyDescent="0.2">
      <c r="A59" s="57">
        <v>57</v>
      </c>
      <c r="B59" s="54" t="s">
        <v>32</v>
      </c>
      <c r="C59" s="54" t="s">
        <v>189</v>
      </c>
      <c r="D59" s="55" t="s">
        <v>190</v>
      </c>
      <c r="E59" s="133">
        <v>83327565.761999995</v>
      </c>
      <c r="F59" s="133">
        <v>71729520.173999995</v>
      </c>
      <c r="G59" s="132">
        <v>11598045.588</v>
      </c>
      <c r="H59" s="95" t="s">
        <v>55</v>
      </c>
      <c r="I59" s="132">
        <v>2319609.1199999996</v>
      </c>
      <c r="J59" s="132">
        <v>1919720</v>
      </c>
      <c r="K59" s="132">
        <v>16.552099105268667</v>
      </c>
      <c r="L59" s="132">
        <v>399889.11999999965</v>
      </c>
      <c r="M59" s="108" t="s">
        <v>287</v>
      </c>
      <c r="N59" s="132">
        <v>1954846.8399999989</v>
      </c>
      <c r="O59" s="137">
        <v>-6630398.7199999997</v>
      </c>
      <c r="P59" s="132">
        <v>5977460.0144999996</v>
      </c>
      <c r="Q59" s="132">
        <v>0.32703637251574608</v>
      </c>
      <c r="R59" s="136">
        <v>1554957.7199999993</v>
      </c>
      <c r="S59" s="132">
        <v>0.26013686686786941</v>
      </c>
      <c r="T59" s="107" t="s">
        <v>53</v>
      </c>
      <c r="U59" s="107" t="s">
        <v>53</v>
      </c>
      <c r="V59" s="107" t="s">
        <v>52</v>
      </c>
      <c r="W59" s="110">
        <v>2</v>
      </c>
      <c r="X59" s="27"/>
    </row>
    <row r="60" spans="1:24" s="56" customFormat="1" ht="11.4" x14ac:dyDescent="0.2">
      <c r="A60" s="54">
        <v>58</v>
      </c>
      <c r="B60" s="54" t="s">
        <v>32</v>
      </c>
      <c r="C60" s="54" t="s">
        <v>191</v>
      </c>
      <c r="D60" s="55" t="s">
        <v>192</v>
      </c>
      <c r="E60" s="133">
        <v>131828826.04999998</v>
      </c>
      <c r="F60" s="133">
        <v>106533143.81</v>
      </c>
      <c r="G60" s="132">
        <v>25295682.23999998</v>
      </c>
      <c r="H60" s="95" t="s">
        <v>55</v>
      </c>
      <c r="I60" s="132">
        <v>5059136.45</v>
      </c>
      <c r="J60" s="132">
        <v>2008603</v>
      </c>
      <c r="K60" s="132">
        <v>7.9404974372416905</v>
      </c>
      <c r="L60" s="132">
        <v>3050533.45</v>
      </c>
      <c r="M60" s="108" t="s">
        <v>287</v>
      </c>
      <c r="N60" s="132">
        <v>10669597.960000001</v>
      </c>
      <c r="O60" s="132">
        <v>-3587288.42</v>
      </c>
      <c r="P60" s="132">
        <v>8877761.9841666669</v>
      </c>
      <c r="Q60" s="132">
        <v>1.2018341986447758</v>
      </c>
      <c r="R60" s="136">
        <v>7619064.5100000007</v>
      </c>
      <c r="S60" s="132">
        <v>0.85821905606260551</v>
      </c>
      <c r="T60" s="107" t="s">
        <v>53</v>
      </c>
      <c r="U60" s="107" t="s">
        <v>53</v>
      </c>
      <c r="V60" s="107" t="s">
        <v>52</v>
      </c>
      <c r="W60" s="110">
        <v>2</v>
      </c>
      <c r="X60" s="27"/>
    </row>
    <row r="61" spans="1:24" s="56" customFormat="1" ht="11.4" x14ac:dyDescent="0.2">
      <c r="A61" s="54">
        <v>59</v>
      </c>
      <c r="B61" s="54" t="s">
        <v>32</v>
      </c>
      <c r="C61" s="54" t="s">
        <v>193</v>
      </c>
      <c r="D61" s="55" t="s">
        <v>194</v>
      </c>
      <c r="E61" s="133">
        <v>185132471.49636364</v>
      </c>
      <c r="F61" s="133">
        <v>180286961.15000001</v>
      </c>
      <c r="G61" s="132">
        <v>4845510.3463636339</v>
      </c>
      <c r="H61" s="95" t="s">
        <v>55</v>
      </c>
      <c r="I61" s="132">
        <v>969102.07000000007</v>
      </c>
      <c r="J61" s="132">
        <v>4529046.66</v>
      </c>
      <c r="K61" s="132">
        <v>93.468929715501943</v>
      </c>
      <c r="L61" s="132">
        <v>-3559944.59</v>
      </c>
      <c r="M61" s="108" t="s">
        <v>286</v>
      </c>
      <c r="N61" s="132">
        <v>26224054.580000009</v>
      </c>
      <c r="O61" s="132">
        <v>3105974.9900000021</v>
      </c>
      <c r="P61" s="132">
        <v>15023913.429166667</v>
      </c>
      <c r="Q61" s="132">
        <v>1.7454875990625687</v>
      </c>
      <c r="R61" s="136">
        <v>22664109.99000001</v>
      </c>
      <c r="S61" s="132">
        <v>1.5085357152019427</v>
      </c>
      <c r="T61" s="107" t="s">
        <v>53</v>
      </c>
      <c r="U61" s="107" t="s">
        <v>52</v>
      </c>
      <c r="V61" s="107" t="s">
        <v>53</v>
      </c>
      <c r="W61" s="110">
        <v>3</v>
      </c>
      <c r="X61" s="99"/>
    </row>
    <row r="62" spans="1:24" s="56" customFormat="1" ht="11.4" x14ac:dyDescent="0.2">
      <c r="A62" s="57">
        <v>60</v>
      </c>
      <c r="B62" s="54" t="s">
        <v>32</v>
      </c>
      <c r="C62" s="54" t="s">
        <v>195</v>
      </c>
      <c r="D62" s="55" t="s">
        <v>196</v>
      </c>
      <c r="E62" s="133">
        <v>290650828.70000005</v>
      </c>
      <c r="F62" s="133">
        <v>271924365.63000005</v>
      </c>
      <c r="G62" s="132">
        <v>18726463.069999993</v>
      </c>
      <c r="H62" s="95" t="s">
        <v>55</v>
      </c>
      <c r="I62" s="132">
        <v>3745292.6199999996</v>
      </c>
      <c r="J62" s="132">
        <v>2744950</v>
      </c>
      <c r="K62" s="132">
        <v>14.658133731603815</v>
      </c>
      <c r="L62" s="132">
        <v>1000342.6199999996</v>
      </c>
      <c r="M62" s="108" t="s">
        <v>287</v>
      </c>
      <c r="N62" s="132">
        <v>-1178730.089999994</v>
      </c>
      <c r="O62" s="132">
        <v>-24952358.43999999</v>
      </c>
      <c r="P62" s="132">
        <v>22660363.802500006</v>
      </c>
      <c r="Q62" s="132">
        <v>-5.2017262400259903E-2</v>
      </c>
      <c r="R62" s="136">
        <v>-178387.46999999438</v>
      </c>
      <c r="S62" s="132">
        <v>-7.8722244512382349E-3</v>
      </c>
      <c r="T62" s="107" t="s">
        <v>53</v>
      </c>
      <c r="U62" s="107" t="s">
        <v>53</v>
      </c>
      <c r="V62" s="107" t="s">
        <v>52</v>
      </c>
      <c r="W62" s="110">
        <v>2</v>
      </c>
      <c r="X62" s="27"/>
    </row>
    <row r="63" spans="1:24" s="56" customFormat="1" ht="11.4" x14ac:dyDescent="0.2">
      <c r="A63" s="54">
        <v>61</v>
      </c>
      <c r="B63" s="54" t="s">
        <v>32</v>
      </c>
      <c r="C63" s="54" t="s">
        <v>197</v>
      </c>
      <c r="D63" s="55" t="s">
        <v>198</v>
      </c>
      <c r="E63" s="133">
        <v>87996537.939999998</v>
      </c>
      <c r="F63" s="133">
        <v>83438007.219999999</v>
      </c>
      <c r="G63" s="132">
        <v>4558530.7199999988</v>
      </c>
      <c r="H63" s="95" t="s">
        <v>55</v>
      </c>
      <c r="I63" s="132">
        <v>911706.15</v>
      </c>
      <c r="J63" s="132">
        <v>876500</v>
      </c>
      <c r="K63" s="132">
        <v>19.227686591086528</v>
      </c>
      <c r="L63" s="132">
        <v>35206.150000000023</v>
      </c>
      <c r="M63" s="108" t="s">
        <v>287</v>
      </c>
      <c r="N63" s="132">
        <v>7902703.3500000006</v>
      </c>
      <c r="O63" s="132">
        <v>974499.72000000067</v>
      </c>
      <c r="P63" s="132">
        <v>6953167.2683333335</v>
      </c>
      <c r="Q63" s="132">
        <v>1.1365616624802224</v>
      </c>
      <c r="R63" s="136">
        <v>7867497.2000000002</v>
      </c>
      <c r="S63" s="132">
        <v>1.1314983368558931</v>
      </c>
      <c r="T63" s="107" t="s">
        <v>53</v>
      </c>
      <c r="U63" s="107" t="s">
        <v>53</v>
      </c>
      <c r="V63" s="107" t="s">
        <v>53</v>
      </c>
      <c r="W63" s="110">
        <v>1</v>
      </c>
      <c r="X63" s="99"/>
    </row>
    <row r="64" spans="1:24" s="56" customFormat="1" ht="11.4" x14ac:dyDescent="0.2">
      <c r="A64" s="54">
        <v>62</v>
      </c>
      <c r="B64" s="54" t="s">
        <v>32</v>
      </c>
      <c r="C64" s="54" t="s">
        <v>199</v>
      </c>
      <c r="D64" s="55" t="s">
        <v>200</v>
      </c>
      <c r="E64" s="133">
        <v>119415624.35234201</v>
      </c>
      <c r="F64" s="133">
        <v>93751166.436021999</v>
      </c>
      <c r="G64" s="132">
        <v>25664457.916320011</v>
      </c>
      <c r="H64" s="95" t="s">
        <v>55</v>
      </c>
      <c r="I64" s="132">
        <v>5132891.59</v>
      </c>
      <c r="J64" s="132">
        <v>206800</v>
      </c>
      <c r="K64" s="132">
        <v>0.80578362759221189</v>
      </c>
      <c r="L64" s="132">
        <v>4926091.59</v>
      </c>
      <c r="M64" s="108" t="s">
        <v>287</v>
      </c>
      <c r="N64" s="132">
        <v>3416753.8599999975</v>
      </c>
      <c r="O64" s="132">
        <v>-4940826.7800000012</v>
      </c>
      <c r="P64" s="132">
        <v>7812597.2030018335</v>
      </c>
      <c r="Q64" s="132">
        <v>0.4373390527144006</v>
      </c>
      <c r="R64" s="136">
        <v>-1509337.7300000023</v>
      </c>
      <c r="S64" s="132">
        <v>-0.19319282573790822</v>
      </c>
      <c r="T64" s="107" t="s">
        <v>53</v>
      </c>
      <c r="U64" s="107" t="s">
        <v>53</v>
      </c>
      <c r="V64" s="107" t="s">
        <v>52</v>
      </c>
      <c r="W64" s="110">
        <v>2</v>
      </c>
      <c r="X64" s="27"/>
    </row>
    <row r="65" spans="1:24" s="62" customFormat="1" ht="11.4" x14ac:dyDescent="0.2">
      <c r="A65" s="59">
        <v>63</v>
      </c>
      <c r="B65" s="60" t="s">
        <v>32</v>
      </c>
      <c r="C65" s="60" t="s">
        <v>201</v>
      </c>
      <c r="D65" s="61" t="s">
        <v>202</v>
      </c>
      <c r="E65" s="133">
        <v>95713373.859999985</v>
      </c>
      <c r="F65" s="133">
        <v>73172235.50999999</v>
      </c>
      <c r="G65" s="132">
        <v>22541138.349999994</v>
      </c>
      <c r="H65" s="95" t="s">
        <v>55</v>
      </c>
      <c r="I65" s="132">
        <v>4508227.67</v>
      </c>
      <c r="J65" s="132">
        <v>267500</v>
      </c>
      <c r="K65" s="132">
        <v>1.1867191259220504</v>
      </c>
      <c r="L65" s="132">
        <v>4240727.67</v>
      </c>
      <c r="M65" s="108" t="s">
        <v>287</v>
      </c>
      <c r="N65" s="132">
        <v>1189441.08</v>
      </c>
      <c r="O65" s="132">
        <v>-4422262.58</v>
      </c>
      <c r="P65" s="132">
        <v>6097686.2924999995</v>
      </c>
      <c r="Q65" s="132">
        <v>0.19506432816377953</v>
      </c>
      <c r="R65" s="136">
        <v>-3051286.59</v>
      </c>
      <c r="S65" s="132">
        <v>-0.5004007165394857</v>
      </c>
      <c r="T65" s="107" t="s">
        <v>53</v>
      </c>
      <c r="U65" s="107" t="s">
        <v>53</v>
      </c>
      <c r="V65" s="107" t="s">
        <v>52</v>
      </c>
      <c r="W65" s="110">
        <v>2</v>
      </c>
      <c r="X65" s="27"/>
    </row>
    <row r="66" spans="1:24" s="62" customFormat="1" ht="11.4" x14ac:dyDescent="0.2">
      <c r="A66" s="60">
        <v>64</v>
      </c>
      <c r="B66" s="60" t="s">
        <v>32</v>
      </c>
      <c r="C66" s="60" t="s">
        <v>203</v>
      </c>
      <c r="D66" s="61" t="s">
        <v>204</v>
      </c>
      <c r="E66" s="133">
        <v>82697071.150000006</v>
      </c>
      <c r="F66" s="133">
        <v>76738188.200000003</v>
      </c>
      <c r="G66" s="132">
        <v>5958882.950000003</v>
      </c>
      <c r="H66" s="95" t="s">
        <v>55</v>
      </c>
      <c r="I66" s="132">
        <v>1191776.5900000001</v>
      </c>
      <c r="J66" s="132">
        <v>1186552</v>
      </c>
      <c r="K66" s="132">
        <v>19.912322661078608</v>
      </c>
      <c r="L66" s="132">
        <v>5224.5900000000838</v>
      </c>
      <c r="M66" s="108" t="s">
        <v>287</v>
      </c>
      <c r="N66" s="132">
        <v>2068380.1999999979</v>
      </c>
      <c r="O66" s="132">
        <v>-4861097.76</v>
      </c>
      <c r="P66" s="132">
        <v>6394849.0166666666</v>
      </c>
      <c r="Q66" s="132">
        <v>0.32344472787539663</v>
      </c>
      <c r="R66" s="136">
        <v>2063155.6099999978</v>
      </c>
      <c r="S66" s="132">
        <v>0.32262772813288776</v>
      </c>
      <c r="T66" s="107" t="s">
        <v>53</v>
      </c>
      <c r="U66" s="107" t="s">
        <v>53</v>
      </c>
      <c r="V66" s="107" t="s">
        <v>52</v>
      </c>
      <c r="W66" s="110">
        <v>2</v>
      </c>
      <c r="X66" s="27"/>
    </row>
    <row r="67" spans="1:24" s="62" customFormat="1" ht="11.4" x14ac:dyDescent="0.2">
      <c r="A67" s="60">
        <v>65</v>
      </c>
      <c r="B67" s="60" t="s">
        <v>32</v>
      </c>
      <c r="C67" s="60" t="s">
        <v>205</v>
      </c>
      <c r="D67" s="61" t="s">
        <v>206</v>
      </c>
      <c r="E67" s="133">
        <v>123504642.92</v>
      </c>
      <c r="F67" s="133">
        <v>79575810</v>
      </c>
      <c r="G67" s="132">
        <v>43928832.920000002</v>
      </c>
      <c r="H67" s="95" t="s">
        <v>55</v>
      </c>
      <c r="I67" s="132">
        <v>8785766.5899999999</v>
      </c>
      <c r="J67" s="132">
        <v>5939978</v>
      </c>
      <c r="K67" s="132">
        <v>13.521820647540208</v>
      </c>
      <c r="L67" s="132">
        <v>2845788.59</v>
      </c>
      <c r="M67" s="108" t="s">
        <v>287</v>
      </c>
      <c r="N67" s="132">
        <v>9743090.3000000007</v>
      </c>
      <c r="O67" s="132">
        <v>13936601.630000001</v>
      </c>
      <c r="P67" s="132">
        <v>6631317.5</v>
      </c>
      <c r="Q67" s="132">
        <v>1.4692540811083168</v>
      </c>
      <c r="R67" s="136">
        <v>6897301.7100000009</v>
      </c>
      <c r="S67" s="132">
        <v>1.0401103114124759</v>
      </c>
      <c r="T67" s="107" t="s">
        <v>53</v>
      </c>
      <c r="U67" s="107" t="s">
        <v>53</v>
      </c>
      <c r="V67" s="107" t="s">
        <v>53</v>
      </c>
      <c r="W67" s="110">
        <v>1</v>
      </c>
      <c r="X67" s="27"/>
    </row>
    <row r="68" spans="1:24" s="56" customFormat="1" ht="11.4" x14ac:dyDescent="0.2">
      <c r="A68" s="57">
        <v>66</v>
      </c>
      <c r="B68" s="54" t="s">
        <v>32</v>
      </c>
      <c r="C68" s="54" t="s">
        <v>207</v>
      </c>
      <c r="D68" s="55" t="s">
        <v>208</v>
      </c>
      <c r="E68" s="133">
        <v>85557009.830000013</v>
      </c>
      <c r="F68" s="133">
        <v>73990845.720000014</v>
      </c>
      <c r="G68" s="132">
        <v>11566164.109999999</v>
      </c>
      <c r="H68" s="95" t="s">
        <v>55</v>
      </c>
      <c r="I68" s="132">
        <v>2313232.8299999996</v>
      </c>
      <c r="J68" s="132">
        <v>1266300</v>
      </c>
      <c r="K68" s="132">
        <v>10.948314306773225</v>
      </c>
      <c r="L68" s="132">
        <v>1046932.8299999996</v>
      </c>
      <c r="M68" s="108" t="s">
        <v>287</v>
      </c>
      <c r="N68" s="132">
        <v>6583081.1600000039</v>
      </c>
      <c r="O68" s="132">
        <v>261496.05999999866</v>
      </c>
      <c r="P68" s="132">
        <v>6165903.8100000015</v>
      </c>
      <c r="Q68" s="132">
        <v>1.0676587509074362</v>
      </c>
      <c r="R68" s="136">
        <v>5536148.3300000038</v>
      </c>
      <c r="S68" s="132">
        <v>0.89786485494978918</v>
      </c>
      <c r="T68" s="107" t="s">
        <v>53</v>
      </c>
      <c r="U68" s="107" t="s">
        <v>53</v>
      </c>
      <c r="V68" s="107" t="s">
        <v>52</v>
      </c>
      <c r="W68" s="110">
        <v>2</v>
      </c>
      <c r="X68" s="27"/>
    </row>
    <row r="69" spans="1:24" s="56" customFormat="1" ht="11.4" x14ac:dyDescent="0.2">
      <c r="A69" s="54">
        <v>67</v>
      </c>
      <c r="B69" s="54" t="s">
        <v>32</v>
      </c>
      <c r="C69" s="54" t="s">
        <v>209</v>
      </c>
      <c r="D69" s="55" t="s">
        <v>210</v>
      </c>
      <c r="E69" s="133">
        <v>497692982.84000003</v>
      </c>
      <c r="F69" s="133">
        <v>443658777.09799993</v>
      </c>
      <c r="G69" s="132">
        <v>54034205.742000103</v>
      </c>
      <c r="H69" s="95" t="s">
        <v>55</v>
      </c>
      <c r="I69" s="132">
        <v>10806841.15</v>
      </c>
      <c r="J69" s="132">
        <v>27376140</v>
      </c>
      <c r="K69" s="132">
        <v>50.664462675206636</v>
      </c>
      <c r="L69" s="132">
        <v>-16569298.85</v>
      </c>
      <c r="M69" s="108" t="s">
        <v>286</v>
      </c>
      <c r="N69" s="132">
        <v>2660941.8399999989</v>
      </c>
      <c r="O69" s="132">
        <v>-53022174.100000009</v>
      </c>
      <c r="P69" s="132">
        <v>36971564.758166663</v>
      </c>
      <c r="Q69" s="132">
        <v>7.1972659458840529E-2</v>
      </c>
      <c r="R69" s="136">
        <v>-13908357.010000002</v>
      </c>
      <c r="S69" s="132">
        <v>-0.37619065086845638</v>
      </c>
      <c r="T69" s="107" t="s">
        <v>53</v>
      </c>
      <c r="U69" s="107" t="s">
        <v>52</v>
      </c>
      <c r="V69" s="107" t="s">
        <v>52</v>
      </c>
      <c r="W69" s="110">
        <v>4</v>
      </c>
      <c r="X69" s="27"/>
    </row>
    <row r="70" spans="1:24" s="56" customFormat="1" ht="11.4" x14ac:dyDescent="0.2">
      <c r="A70" s="54">
        <v>68</v>
      </c>
      <c r="B70" s="54" t="s">
        <v>32</v>
      </c>
      <c r="C70" s="54" t="s">
        <v>211</v>
      </c>
      <c r="D70" s="55" t="s">
        <v>212</v>
      </c>
      <c r="E70" s="133">
        <v>72718394.770000011</v>
      </c>
      <c r="F70" s="133">
        <v>63224334.56000001</v>
      </c>
      <c r="G70" s="132">
        <v>9494060.2100000009</v>
      </c>
      <c r="H70" s="95" t="s">
        <v>55</v>
      </c>
      <c r="I70" s="132">
        <v>1898812.05</v>
      </c>
      <c r="J70" s="132">
        <v>64000</v>
      </c>
      <c r="K70" s="132">
        <v>0.67410568907693913</v>
      </c>
      <c r="L70" s="132">
        <v>1834812.05</v>
      </c>
      <c r="M70" s="108" t="s">
        <v>287</v>
      </c>
      <c r="N70" s="132">
        <v>7843816.71</v>
      </c>
      <c r="O70" s="132">
        <v>4093466.63</v>
      </c>
      <c r="P70" s="132">
        <v>5268694.5466666678</v>
      </c>
      <c r="Q70" s="132">
        <v>1.4887590541688411</v>
      </c>
      <c r="R70" s="136">
        <v>6009004.6600000001</v>
      </c>
      <c r="S70" s="132">
        <v>1.14051110892388</v>
      </c>
      <c r="T70" s="107" t="s">
        <v>53</v>
      </c>
      <c r="U70" s="107" t="s">
        <v>53</v>
      </c>
      <c r="V70" s="107" t="s">
        <v>53</v>
      </c>
      <c r="W70" s="110">
        <v>1</v>
      </c>
      <c r="X70" s="27"/>
    </row>
    <row r="71" spans="1:24" s="56" customFormat="1" ht="11.4" x14ac:dyDescent="0.2">
      <c r="A71" s="57">
        <v>69</v>
      </c>
      <c r="B71" s="54" t="s">
        <v>32</v>
      </c>
      <c r="C71" s="54" t="s">
        <v>213</v>
      </c>
      <c r="D71" s="55" t="s">
        <v>214</v>
      </c>
      <c r="E71" s="133">
        <v>105383967.34999998</v>
      </c>
      <c r="F71" s="133">
        <v>83293418.460909083</v>
      </c>
      <c r="G71" s="132">
        <v>22090548.889090896</v>
      </c>
      <c r="H71" s="95" t="s">
        <v>55</v>
      </c>
      <c r="I71" s="132">
        <v>4418109.7799999993</v>
      </c>
      <c r="J71" s="132">
        <v>1572230</v>
      </c>
      <c r="K71" s="132">
        <v>7.1172065841081187</v>
      </c>
      <c r="L71" s="132">
        <v>2845879.7799999993</v>
      </c>
      <c r="M71" s="108" t="s">
        <v>287</v>
      </c>
      <c r="N71" s="132">
        <v>3462230.2500000037</v>
      </c>
      <c r="O71" s="132">
        <v>-3802676.17</v>
      </c>
      <c r="P71" s="132">
        <v>6941118.2050757566</v>
      </c>
      <c r="Q71" s="132">
        <v>0.49880007049414832</v>
      </c>
      <c r="R71" s="136">
        <v>616350.4700000044</v>
      </c>
      <c r="S71" s="132">
        <v>8.8796999530895815E-2</v>
      </c>
      <c r="T71" s="107" t="s">
        <v>53</v>
      </c>
      <c r="U71" s="107" t="s">
        <v>53</v>
      </c>
      <c r="V71" s="107" t="s">
        <v>52</v>
      </c>
      <c r="W71" s="110">
        <v>2</v>
      </c>
      <c r="X71" s="27"/>
    </row>
    <row r="72" spans="1:24" s="28" customFormat="1" ht="11.4" x14ac:dyDescent="0.2">
      <c r="A72" s="20">
        <v>70</v>
      </c>
      <c r="B72" s="37" t="s">
        <v>33</v>
      </c>
      <c r="C72" s="37" t="s">
        <v>215</v>
      </c>
      <c r="D72" s="38" t="s">
        <v>216</v>
      </c>
      <c r="E72" s="155">
        <v>1237079503.5191426</v>
      </c>
      <c r="F72" s="155">
        <v>1177535949.5744996</v>
      </c>
      <c r="G72" s="156">
        <v>59543553.944643021</v>
      </c>
      <c r="H72" s="94" t="s">
        <v>55</v>
      </c>
      <c r="I72" s="163">
        <v>11908710.789999999</v>
      </c>
      <c r="J72" s="164">
        <v>40500000</v>
      </c>
      <c r="K72" s="163">
        <v>68.017438189283084</v>
      </c>
      <c r="L72" s="163">
        <v>-28591289.210000001</v>
      </c>
      <c r="M72" s="23" t="s">
        <v>286</v>
      </c>
      <c r="N72" s="156">
        <v>290655221.81300008</v>
      </c>
      <c r="O72" s="156">
        <v>57603149.820000023</v>
      </c>
      <c r="P72" s="163">
        <v>98127995.797874972</v>
      </c>
      <c r="Q72" s="163">
        <v>2.9620010013421108</v>
      </c>
      <c r="R72" s="169">
        <v>262063932.60300007</v>
      </c>
      <c r="S72" s="163">
        <v>2.670633701138684</v>
      </c>
      <c r="T72" s="24" t="s">
        <v>53</v>
      </c>
      <c r="U72" s="24" t="s">
        <v>52</v>
      </c>
      <c r="V72" s="24" t="s">
        <v>53</v>
      </c>
      <c r="W72" s="110">
        <v>3</v>
      </c>
      <c r="X72" s="99" t="s">
        <v>57</v>
      </c>
    </row>
    <row r="73" spans="1:24" s="28" customFormat="1" ht="11.4" x14ac:dyDescent="0.2">
      <c r="A73" s="20">
        <v>71</v>
      </c>
      <c r="B73" s="39" t="s">
        <v>33</v>
      </c>
      <c r="C73" s="39" t="s">
        <v>217</v>
      </c>
      <c r="D73" s="40" t="s">
        <v>218</v>
      </c>
      <c r="E73" s="157">
        <v>837812696.76999998</v>
      </c>
      <c r="F73" s="157">
        <v>764444306.93000007</v>
      </c>
      <c r="G73" s="158">
        <v>73368389.839999914</v>
      </c>
      <c r="H73" s="94" t="s">
        <v>55</v>
      </c>
      <c r="I73" s="121">
        <v>14673677.970000001</v>
      </c>
      <c r="J73" s="165">
        <v>37054274.469999999</v>
      </c>
      <c r="K73" s="163">
        <v>50.504412800672206</v>
      </c>
      <c r="L73" s="163">
        <v>-22380596.5</v>
      </c>
      <c r="M73" s="23" t="s">
        <v>286</v>
      </c>
      <c r="N73" s="158">
        <v>151790493.04999995</v>
      </c>
      <c r="O73" s="158">
        <v>50924114.38000001</v>
      </c>
      <c r="P73" s="163">
        <v>63703692.244166672</v>
      </c>
      <c r="Q73" s="163">
        <v>2.3827581683681665</v>
      </c>
      <c r="R73" s="160">
        <v>129409896.54999995</v>
      </c>
      <c r="S73" s="163">
        <v>2.0314347880181147</v>
      </c>
      <c r="T73" s="24" t="s">
        <v>53</v>
      </c>
      <c r="U73" s="24" t="s">
        <v>52</v>
      </c>
      <c r="V73" s="24" t="s">
        <v>53</v>
      </c>
      <c r="W73" s="110">
        <v>3</v>
      </c>
      <c r="X73" s="99" t="s">
        <v>57</v>
      </c>
    </row>
    <row r="74" spans="1:24" s="28" customFormat="1" ht="11.4" x14ac:dyDescent="0.2">
      <c r="A74" s="29">
        <v>72</v>
      </c>
      <c r="B74" s="37" t="s">
        <v>33</v>
      </c>
      <c r="C74" s="37" t="s">
        <v>219</v>
      </c>
      <c r="D74" s="38" t="s">
        <v>220</v>
      </c>
      <c r="E74" s="159">
        <v>166508133.36839998</v>
      </c>
      <c r="F74" s="159">
        <v>163416992.40839997</v>
      </c>
      <c r="G74" s="160">
        <v>3091140.9600000083</v>
      </c>
      <c r="H74" s="94" t="s">
        <v>55</v>
      </c>
      <c r="I74" s="121">
        <v>618228.19999999995</v>
      </c>
      <c r="J74" s="166">
        <v>363489.76</v>
      </c>
      <c r="K74" s="163">
        <v>11.759080698797995</v>
      </c>
      <c r="L74" s="163">
        <v>254738.43999999994</v>
      </c>
      <c r="M74" s="170" t="s">
        <v>287</v>
      </c>
      <c r="N74" s="160">
        <v>8448014.2599999961</v>
      </c>
      <c r="O74" s="160">
        <v>-3660863.0700000022</v>
      </c>
      <c r="P74" s="163">
        <v>13618082.700699998</v>
      </c>
      <c r="Q74" s="163">
        <v>0.62035269176076824</v>
      </c>
      <c r="R74" s="160">
        <v>8193275.8199999966</v>
      </c>
      <c r="S74" s="163">
        <v>0.60164679566667967</v>
      </c>
      <c r="T74" s="24" t="s">
        <v>53</v>
      </c>
      <c r="U74" s="24" t="s">
        <v>53</v>
      </c>
      <c r="V74" s="24" t="s">
        <v>52</v>
      </c>
      <c r="W74" s="110">
        <v>2</v>
      </c>
      <c r="X74" s="27" t="s">
        <v>56</v>
      </c>
    </row>
    <row r="75" spans="1:24" s="28" customFormat="1" ht="11.4" x14ac:dyDescent="0.2">
      <c r="A75" s="20">
        <v>73</v>
      </c>
      <c r="B75" s="37" t="s">
        <v>33</v>
      </c>
      <c r="C75" s="37" t="s">
        <v>221</v>
      </c>
      <c r="D75" s="38" t="s">
        <v>222</v>
      </c>
      <c r="E75" s="159">
        <v>97584047.610000014</v>
      </c>
      <c r="F75" s="159">
        <v>94569350.11999999</v>
      </c>
      <c r="G75" s="160">
        <v>3014697.4900000244</v>
      </c>
      <c r="H75" s="94" t="s">
        <v>55</v>
      </c>
      <c r="I75" s="121">
        <v>602939.5</v>
      </c>
      <c r="J75" s="166">
        <v>1811300</v>
      </c>
      <c r="K75" s="163">
        <v>60.082313598900605</v>
      </c>
      <c r="L75" s="163">
        <v>-1208360.5</v>
      </c>
      <c r="M75" s="23" t="s">
        <v>286</v>
      </c>
      <c r="N75" s="160">
        <v>3589920.88</v>
      </c>
      <c r="O75" s="160">
        <v>-6932123.4199999999</v>
      </c>
      <c r="P75" s="163">
        <v>7880779.1766666658</v>
      </c>
      <c r="Q75" s="163">
        <v>0.4555286729298294</v>
      </c>
      <c r="R75" s="160">
        <v>2381560.38</v>
      </c>
      <c r="S75" s="163">
        <v>0.30219859313547326</v>
      </c>
      <c r="T75" s="129" t="s">
        <v>53</v>
      </c>
      <c r="U75" s="129" t="s">
        <v>52</v>
      </c>
      <c r="V75" s="129" t="s">
        <v>52</v>
      </c>
      <c r="W75" s="110">
        <v>4</v>
      </c>
      <c r="X75" s="27" t="s">
        <v>76</v>
      </c>
    </row>
    <row r="76" spans="1:24" s="28" customFormat="1" ht="11.4" x14ac:dyDescent="0.2">
      <c r="A76" s="20">
        <v>74</v>
      </c>
      <c r="B76" s="37" t="s">
        <v>33</v>
      </c>
      <c r="C76" s="37" t="s">
        <v>223</v>
      </c>
      <c r="D76" s="38" t="s">
        <v>224</v>
      </c>
      <c r="E76" s="155">
        <v>208291583.63999999</v>
      </c>
      <c r="F76" s="155">
        <v>201315598.10000002</v>
      </c>
      <c r="G76" s="156">
        <v>6975985.5399999619</v>
      </c>
      <c r="H76" s="94" t="s">
        <v>55</v>
      </c>
      <c r="I76" s="121">
        <v>1395197.11</v>
      </c>
      <c r="J76" s="164">
        <v>1670000</v>
      </c>
      <c r="K76" s="163">
        <v>23.939269805309962</v>
      </c>
      <c r="L76" s="163">
        <v>-274802.8899999999</v>
      </c>
      <c r="M76" s="30" t="s">
        <v>286</v>
      </c>
      <c r="N76" s="156">
        <v>-5305603.9900000012</v>
      </c>
      <c r="O76" s="156">
        <v>-20292659.91</v>
      </c>
      <c r="P76" s="163">
        <v>16776299.841666669</v>
      </c>
      <c r="Q76" s="163">
        <v>-0.31625591102173023</v>
      </c>
      <c r="R76" s="169">
        <v>-5580406.8800000008</v>
      </c>
      <c r="S76" s="163">
        <v>-0.33263633415398031</v>
      </c>
      <c r="T76" s="129" t="s">
        <v>53</v>
      </c>
      <c r="U76" s="129" t="s">
        <v>52</v>
      </c>
      <c r="V76" s="129" t="s">
        <v>52</v>
      </c>
      <c r="W76" s="110">
        <v>4</v>
      </c>
      <c r="X76" s="27" t="s">
        <v>76</v>
      </c>
    </row>
    <row r="77" spans="1:24" s="28" customFormat="1" ht="11.4" x14ac:dyDescent="0.2">
      <c r="A77" s="29">
        <v>75</v>
      </c>
      <c r="B77" s="37" t="s">
        <v>33</v>
      </c>
      <c r="C77" s="37" t="s">
        <v>225</v>
      </c>
      <c r="D77" s="38" t="s">
        <v>226</v>
      </c>
      <c r="E77" s="161">
        <v>185020449</v>
      </c>
      <c r="F77" s="161">
        <v>178367276.24000001</v>
      </c>
      <c r="G77" s="161">
        <v>6653172.7599999905</v>
      </c>
      <c r="H77" s="94" t="s">
        <v>55</v>
      </c>
      <c r="I77" s="121">
        <v>1330634.56</v>
      </c>
      <c r="J77" s="167">
        <v>10366859</v>
      </c>
      <c r="K77" s="163">
        <v>155.81827458813825</v>
      </c>
      <c r="L77" s="163">
        <v>-9036224.4399999995</v>
      </c>
      <c r="M77" s="23" t="s">
        <v>286</v>
      </c>
      <c r="N77" s="161">
        <v>41978143.829999998</v>
      </c>
      <c r="O77" s="161">
        <v>27857353.149999999</v>
      </c>
      <c r="P77" s="163">
        <v>14863939.686666667</v>
      </c>
      <c r="Q77" s="163">
        <v>2.824159994920826</v>
      </c>
      <c r="R77" s="171">
        <v>32941919.390000001</v>
      </c>
      <c r="S77" s="163">
        <v>2.2162306955234583</v>
      </c>
      <c r="T77" s="129" t="s">
        <v>53</v>
      </c>
      <c r="U77" s="129" t="s">
        <v>52</v>
      </c>
      <c r="V77" s="129" t="s">
        <v>53</v>
      </c>
      <c r="W77" s="110">
        <v>3</v>
      </c>
      <c r="X77" s="99" t="s">
        <v>57</v>
      </c>
    </row>
    <row r="78" spans="1:24" s="28" customFormat="1" ht="11.4" x14ac:dyDescent="0.2">
      <c r="A78" s="20">
        <v>76</v>
      </c>
      <c r="B78" s="37" t="s">
        <v>33</v>
      </c>
      <c r="C78" s="37" t="s">
        <v>227</v>
      </c>
      <c r="D78" s="38" t="s">
        <v>228</v>
      </c>
      <c r="E78" s="162">
        <v>127757624.816</v>
      </c>
      <c r="F78" s="162">
        <v>117429588.0194478</v>
      </c>
      <c r="G78" s="162">
        <v>10328036.796552196</v>
      </c>
      <c r="H78" s="94" t="s">
        <v>55</v>
      </c>
      <c r="I78" s="121">
        <v>2065607.36</v>
      </c>
      <c r="J78" s="168">
        <v>1938715.87</v>
      </c>
      <c r="K78" s="163">
        <v>18.771388098144662</v>
      </c>
      <c r="L78" s="163">
        <v>126891.48999999999</v>
      </c>
      <c r="M78" s="30" t="s">
        <v>287</v>
      </c>
      <c r="N78" s="162">
        <v>9556344.0800000019</v>
      </c>
      <c r="O78" s="162">
        <v>-5343227.1899999976</v>
      </c>
      <c r="P78" s="163">
        <v>9785799.0016206503</v>
      </c>
      <c r="Q78" s="163">
        <v>0.97655225479466234</v>
      </c>
      <c r="R78" s="171">
        <v>9429452.5900000017</v>
      </c>
      <c r="S78" s="163">
        <v>0.96358535347378038</v>
      </c>
      <c r="T78" s="129" t="s">
        <v>53</v>
      </c>
      <c r="U78" s="129" t="s">
        <v>53</v>
      </c>
      <c r="V78" s="129" t="s">
        <v>52</v>
      </c>
      <c r="W78" s="110">
        <v>2</v>
      </c>
      <c r="X78" s="27" t="s">
        <v>56</v>
      </c>
    </row>
    <row r="79" spans="1:24" s="28" customFormat="1" ht="11.4" x14ac:dyDescent="0.2">
      <c r="A79" s="20">
        <v>77</v>
      </c>
      <c r="B79" s="37" t="s">
        <v>33</v>
      </c>
      <c r="C79" s="37">
        <v>40744</v>
      </c>
      <c r="D79" s="38" t="s">
        <v>229</v>
      </c>
      <c r="E79" s="162">
        <v>88892269.239999995</v>
      </c>
      <c r="F79" s="162">
        <v>86591397.270000011</v>
      </c>
      <c r="G79" s="162">
        <v>2300871.9699999839</v>
      </c>
      <c r="H79" s="94" t="s">
        <v>55</v>
      </c>
      <c r="I79" s="121">
        <v>460174.4</v>
      </c>
      <c r="J79" s="168">
        <v>11103275</v>
      </c>
      <c r="K79" s="163">
        <v>482.56813698330541</v>
      </c>
      <c r="L79" s="163">
        <v>-10643100.6</v>
      </c>
      <c r="M79" s="23" t="s">
        <v>286</v>
      </c>
      <c r="N79" s="162">
        <v>20759591.409999996</v>
      </c>
      <c r="O79" s="162">
        <v>17175249.220000003</v>
      </c>
      <c r="P79" s="163">
        <v>7215949.7725000009</v>
      </c>
      <c r="Q79" s="163">
        <v>2.8769035351541445</v>
      </c>
      <c r="R79" s="171">
        <v>10116490.809999997</v>
      </c>
      <c r="S79" s="163">
        <v>1.4019624760352356</v>
      </c>
      <c r="T79" s="129" t="s">
        <v>53</v>
      </c>
      <c r="U79" s="129" t="s">
        <v>52</v>
      </c>
      <c r="V79" s="129" t="s">
        <v>53</v>
      </c>
      <c r="W79" s="110">
        <v>3</v>
      </c>
      <c r="X79" s="99" t="s">
        <v>57</v>
      </c>
    </row>
    <row r="80" spans="1:24" s="28" customFormat="1" ht="11.4" x14ac:dyDescent="0.2">
      <c r="A80" s="29">
        <v>78</v>
      </c>
      <c r="B80" s="37" t="s">
        <v>33</v>
      </c>
      <c r="C80" s="37">
        <v>40745</v>
      </c>
      <c r="D80" s="38" t="s">
        <v>230</v>
      </c>
      <c r="E80" s="162">
        <v>47153969.248000003</v>
      </c>
      <c r="F80" s="162">
        <v>45785914.967</v>
      </c>
      <c r="G80" s="162">
        <v>1368054.2810000032</v>
      </c>
      <c r="H80" s="94" t="s">
        <v>55</v>
      </c>
      <c r="I80" s="121">
        <v>273610.86</v>
      </c>
      <c r="J80" s="168">
        <v>3480923.12</v>
      </c>
      <c r="K80" s="163">
        <v>254.44334836301658</v>
      </c>
      <c r="L80" s="163">
        <v>-3207312.2600000002</v>
      </c>
      <c r="M80" s="23" t="s">
        <v>286</v>
      </c>
      <c r="N80" s="162">
        <v>7464082.2399999965</v>
      </c>
      <c r="O80" s="162">
        <v>5230774.0699999984</v>
      </c>
      <c r="P80" s="163">
        <v>3815492.9139166665</v>
      </c>
      <c r="Q80" s="163">
        <v>1.956256349677765</v>
      </c>
      <c r="R80" s="171">
        <v>4256769.9799999967</v>
      </c>
      <c r="S80" s="163">
        <v>1.1156540127420527</v>
      </c>
      <c r="T80" s="129" t="s">
        <v>53</v>
      </c>
      <c r="U80" s="129" t="s">
        <v>52</v>
      </c>
      <c r="V80" s="129" t="s">
        <v>53</v>
      </c>
      <c r="W80" s="110">
        <v>3</v>
      </c>
      <c r="X80" s="99" t="s">
        <v>57</v>
      </c>
    </row>
    <row r="81" spans="1:24" s="28" customFormat="1" ht="11.4" x14ac:dyDescent="0.2">
      <c r="A81" s="20">
        <v>79</v>
      </c>
      <c r="B81" s="20" t="s">
        <v>34</v>
      </c>
      <c r="C81" s="20" t="s">
        <v>231</v>
      </c>
      <c r="D81" s="34" t="s">
        <v>232</v>
      </c>
      <c r="E81" s="36">
        <v>4115800000</v>
      </c>
      <c r="F81" s="36">
        <v>3786890108</v>
      </c>
      <c r="G81" s="36">
        <v>328909892</v>
      </c>
      <c r="H81" s="94" t="s">
        <v>55</v>
      </c>
      <c r="I81" s="113">
        <v>65781978.400000006</v>
      </c>
      <c r="J81" s="114">
        <v>263742000</v>
      </c>
      <c r="K81" s="113">
        <v>80.186703536420239</v>
      </c>
      <c r="L81" s="113">
        <v>-197960021.59999999</v>
      </c>
      <c r="M81" s="23" t="s">
        <v>286</v>
      </c>
      <c r="N81" s="114">
        <v>1170010609.4299994</v>
      </c>
      <c r="O81" s="114">
        <v>258462024.11999995</v>
      </c>
      <c r="P81" s="113">
        <v>315574175.66666669</v>
      </c>
      <c r="Q81" s="113">
        <v>3.7075613267729901</v>
      </c>
      <c r="R81" s="113">
        <v>1367970631.0299993</v>
      </c>
      <c r="S81" s="113">
        <v>4.3348624079904221</v>
      </c>
      <c r="T81" s="24" t="s">
        <v>53</v>
      </c>
      <c r="U81" s="24" t="s">
        <v>52</v>
      </c>
      <c r="V81" s="24" t="s">
        <v>53</v>
      </c>
      <c r="W81" s="110">
        <v>3</v>
      </c>
      <c r="X81" s="99" t="s">
        <v>57</v>
      </c>
    </row>
    <row r="82" spans="1:24" s="28" customFormat="1" ht="11.4" x14ac:dyDescent="0.2">
      <c r="A82" s="20">
        <v>80</v>
      </c>
      <c r="B82" s="20" t="s">
        <v>34</v>
      </c>
      <c r="C82" s="20" t="s">
        <v>233</v>
      </c>
      <c r="D82" s="34" t="s">
        <v>234</v>
      </c>
      <c r="E82" s="36">
        <v>328455430.77666003</v>
      </c>
      <c r="F82" s="36">
        <v>282369175.79166001</v>
      </c>
      <c r="G82" s="36">
        <v>46086254.985000014</v>
      </c>
      <c r="H82" s="94" t="s">
        <v>55</v>
      </c>
      <c r="I82" s="113">
        <v>9217250.9970000032</v>
      </c>
      <c r="J82" s="114">
        <v>3192059.31</v>
      </c>
      <c r="K82" s="113">
        <v>6.9262718592320844</v>
      </c>
      <c r="L82" s="113">
        <v>6025191.6870000027</v>
      </c>
      <c r="M82" s="30" t="s">
        <v>287</v>
      </c>
      <c r="N82" s="114">
        <v>-7148981.4800000042</v>
      </c>
      <c r="O82" s="130">
        <v>-43334627.820000008</v>
      </c>
      <c r="P82" s="113">
        <v>23530764.649305001</v>
      </c>
      <c r="Q82" s="113">
        <v>-0.30381424431148502</v>
      </c>
      <c r="R82" s="113">
        <v>-13174173.167000007</v>
      </c>
      <c r="S82" s="113">
        <v>-0.55987016840904558</v>
      </c>
      <c r="T82" s="24" t="s">
        <v>53</v>
      </c>
      <c r="U82" s="24" t="s">
        <v>53</v>
      </c>
      <c r="V82" s="24" t="s">
        <v>52</v>
      </c>
      <c r="W82" s="110">
        <v>2</v>
      </c>
      <c r="X82" s="27" t="s">
        <v>56</v>
      </c>
    </row>
    <row r="83" spans="1:24" s="28" customFormat="1" ht="11.4" x14ac:dyDescent="0.2">
      <c r="A83" s="29">
        <v>81</v>
      </c>
      <c r="B83" s="20" t="s">
        <v>34</v>
      </c>
      <c r="C83" s="20" t="s">
        <v>235</v>
      </c>
      <c r="D83" s="34" t="s">
        <v>236</v>
      </c>
      <c r="E83" s="36">
        <v>480157500</v>
      </c>
      <c r="F83" s="36">
        <v>451464194.39999998</v>
      </c>
      <c r="G83" s="36">
        <v>28693305.600000024</v>
      </c>
      <c r="H83" s="94" t="s">
        <v>55</v>
      </c>
      <c r="I83" s="113">
        <v>5738661.1200000048</v>
      </c>
      <c r="J83" s="114">
        <v>4000000</v>
      </c>
      <c r="K83" s="113">
        <v>13.940533920218648</v>
      </c>
      <c r="L83" s="113">
        <v>1738661.1200000048</v>
      </c>
      <c r="M83" s="30" t="s">
        <v>287</v>
      </c>
      <c r="N83" s="114">
        <v>6303788.650000006</v>
      </c>
      <c r="O83" s="130">
        <v>-62924091.390000008</v>
      </c>
      <c r="P83" s="113">
        <v>37622016.199999996</v>
      </c>
      <c r="Q83" s="113">
        <v>0.16755584327242959</v>
      </c>
      <c r="R83" s="113">
        <v>4565127.5300000012</v>
      </c>
      <c r="S83" s="113">
        <v>0.12134191601352831</v>
      </c>
      <c r="T83" s="24" t="s">
        <v>53</v>
      </c>
      <c r="U83" s="24" t="s">
        <v>53</v>
      </c>
      <c r="V83" s="24" t="s">
        <v>52</v>
      </c>
      <c r="W83" s="110">
        <v>2</v>
      </c>
      <c r="X83" s="27" t="s">
        <v>56</v>
      </c>
    </row>
    <row r="84" spans="1:24" s="28" customFormat="1" ht="11.4" x14ac:dyDescent="0.2">
      <c r="A84" s="20">
        <v>82</v>
      </c>
      <c r="B84" s="20" t="s">
        <v>34</v>
      </c>
      <c r="C84" s="20" t="s">
        <v>237</v>
      </c>
      <c r="D84" s="34" t="s">
        <v>238</v>
      </c>
      <c r="E84" s="36">
        <v>113349887.41999999</v>
      </c>
      <c r="F84" s="36">
        <v>111241928.85000001</v>
      </c>
      <c r="G84" s="36">
        <v>2107958.5699999779</v>
      </c>
      <c r="H84" s="94" t="s">
        <v>55</v>
      </c>
      <c r="I84" s="113">
        <v>421591.71399999561</v>
      </c>
      <c r="J84" s="113">
        <v>400000</v>
      </c>
      <c r="K84" s="113">
        <v>18.975705011128571</v>
      </c>
      <c r="L84" s="113">
        <v>21591.713999995613</v>
      </c>
      <c r="M84" s="30" t="s">
        <v>287</v>
      </c>
      <c r="N84" s="114">
        <v>4035074.51</v>
      </c>
      <c r="O84" s="114">
        <v>-5890261.8300000001</v>
      </c>
      <c r="P84" s="113">
        <v>9270160.7375000007</v>
      </c>
      <c r="Q84" s="113">
        <v>0.43527557118585503</v>
      </c>
      <c r="R84" s="113">
        <v>4013482.7960000043</v>
      </c>
      <c r="S84" s="113">
        <v>0.43294640833621295</v>
      </c>
      <c r="T84" s="24" t="s">
        <v>53</v>
      </c>
      <c r="U84" s="24" t="s">
        <v>53</v>
      </c>
      <c r="V84" s="24" t="s">
        <v>52</v>
      </c>
      <c r="W84" s="110">
        <v>2</v>
      </c>
      <c r="X84" s="27" t="s">
        <v>56</v>
      </c>
    </row>
    <row r="85" spans="1:24" s="28" customFormat="1" ht="11.4" x14ac:dyDescent="0.2">
      <c r="A85" s="20">
        <v>83</v>
      </c>
      <c r="B85" s="20" t="s">
        <v>34</v>
      </c>
      <c r="C85" s="20" t="s">
        <v>239</v>
      </c>
      <c r="D85" s="34" t="s">
        <v>240</v>
      </c>
      <c r="E85" s="36">
        <v>484456897.69999993</v>
      </c>
      <c r="F85" s="36">
        <v>478133084.41221666</v>
      </c>
      <c r="G85" s="36">
        <v>6323813.2877832651</v>
      </c>
      <c r="H85" s="94" t="s">
        <v>55</v>
      </c>
      <c r="I85" s="113">
        <v>1264762.657556653</v>
      </c>
      <c r="J85" s="114">
        <v>5550000</v>
      </c>
      <c r="K85" s="113">
        <v>87.763501979443873</v>
      </c>
      <c r="L85" s="113">
        <v>-4285237.342443347</v>
      </c>
      <c r="M85" s="30" t="s">
        <v>286</v>
      </c>
      <c r="N85" s="114">
        <v>55141841.849999994</v>
      </c>
      <c r="O85" s="130">
        <v>-36889482.370000005</v>
      </c>
      <c r="P85" s="113">
        <v>39844423.701018058</v>
      </c>
      <c r="Q85" s="113">
        <v>1.383928708914695</v>
      </c>
      <c r="R85" s="113">
        <v>59427079.192443341</v>
      </c>
      <c r="S85" s="113">
        <v>1.4914779452795783</v>
      </c>
      <c r="T85" s="24" t="s">
        <v>53</v>
      </c>
      <c r="U85" s="24" t="s">
        <v>52</v>
      </c>
      <c r="V85" s="24" t="s">
        <v>53</v>
      </c>
      <c r="W85" s="110">
        <v>3</v>
      </c>
      <c r="X85" s="99" t="s">
        <v>57</v>
      </c>
    </row>
    <row r="86" spans="1:24" s="28" customFormat="1" ht="11.4" x14ac:dyDescent="0.2">
      <c r="A86" s="29">
        <v>84</v>
      </c>
      <c r="B86" s="20" t="s">
        <v>34</v>
      </c>
      <c r="C86" s="20" t="s">
        <v>241</v>
      </c>
      <c r="D86" s="34" t="s">
        <v>242</v>
      </c>
      <c r="E86" s="36">
        <v>197694016.25</v>
      </c>
      <c r="F86" s="36">
        <v>175947076.16800004</v>
      </c>
      <c r="G86" s="36">
        <v>21746940.081999958</v>
      </c>
      <c r="H86" s="94" t="s">
        <v>55</v>
      </c>
      <c r="I86" s="113">
        <v>4349388.0163999917</v>
      </c>
      <c r="J86" s="114">
        <v>6411866</v>
      </c>
      <c r="K86" s="113">
        <v>29.483991659622639</v>
      </c>
      <c r="L86" s="113">
        <v>-2062477.9836000083</v>
      </c>
      <c r="M86" s="30" t="s">
        <v>286</v>
      </c>
      <c r="N86" s="114">
        <v>9241289.5600000061</v>
      </c>
      <c r="O86" s="114">
        <v>-10483114.109999999</v>
      </c>
      <c r="P86" s="113">
        <v>14662256.347333336</v>
      </c>
      <c r="Q86" s="113">
        <v>0.63027745123831125</v>
      </c>
      <c r="R86" s="113">
        <v>11303767.543600015</v>
      </c>
      <c r="S86" s="113">
        <v>0.77094324883058407</v>
      </c>
      <c r="T86" s="24" t="s">
        <v>53</v>
      </c>
      <c r="U86" s="24" t="s">
        <v>52</v>
      </c>
      <c r="V86" s="24" t="s">
        <v>52</v>
      </c>
      <c r="W86" s="110">
        <v>4</v>
      </c>
      <c r="X86" s="27" t="s">
        <v>76</v>
      </c>
    </row>
    <row r="87" spans="1:24" s="28" customFormat="1" ht="11.4" x14ac:dyDescent="0.2">
      <c r="A87" s="20">
        <v>85</v>
      </c>
      <c r="B87" s="20" t="s">
        <v>34</v>
      </c>
      <c r="C87" s="20" t="s">
        <v>243</v>
      </c>
      <c r="D87" s="34" t="s">
        <v>244</v>
      </c>
      <c r="E87" s="36">
        <v>536038000</v>
      </c>
      <c r="F87" s="36">
        <v>536038000</v>
      </c>
      <c r="G87" s="36">
        <v>0</v>
      </c>
      <c r="H87" s="153" t="s">
        <v>58</v>
      </c>
      <c r="I87" s="113">
        <v>0</v>
      </c>
      <c r="J87" s="114">
        <v>104485922</v>
      </c>
      <c r="K87" s="113" t="e">
        <v>#DIV/0!</v>
      </c>
      <c r="L87" s="113">
        <v>-104485922</v>
      </c>
      <c r="M87" s="30" t="s">
        <v>286</v>
      </c>
      <c r="N87" s="114">
        <v>444905759.24999988</v>
      </c>
      <c r="O87" s="114">
        <v>346740636.17000002</v>
      </c>
      <c r="P87" s="113">
        <v>44669833.333333336</v>
      </c>
      <c r="Q87" s="113">
        <v>9.9598705893985091</v>
      </c>
      <c r="R87" s="113">
        <v>549391681.24999988</v>
      </c>
      <c r="S87" s="113">
        <v>12.298941819423247</v>
      </c>
      <c r="T87" s="24" t="s">
        <v>53</v>
      </c>
      <c r="U87" s="24" t="s">
        <v>52</v>
      </c>
      <c r="V87" s="24" t="s">
        <v>53</v>
      </c>
      <c r="W87" s="110">
        <v>3</v>
      </c>
      <c r="X87" s="99" t="s">
        <v>57</v>
      </c>
    </row>
    <row r="88" spans="1:24" s="28" customFormat="1" ht="11.4" x14ac:dyDescent="0.2">
      <c r="A88" s="20">
        <v>86</v>
      </c>
      <c r="B88" s="20" t="s">
        <v>34</v>
      </c>
      <c r="C88" s="20" t="s">
        <v>245</v>
      </c>
      <c r="D88" s="34" t="s">
        <v>246</v>
      </c>
      <c r="E88" s="36">
        <v>244420200</v>
      </c>
      <c r="F88" s="36">
        <v>225164300.08000001</v>
      </c>
      <c r="G88" s="36">
        <v>19255899.919999987</v>
      </c>
      <c r="H88" s="94" t="s">
        <v>55</v>
      </c>
      <c r="I88" s="113">
        <v>3851179.9839999974</v>
      </c>
      <c r="J88" s="114">
        <v>11429590</v>
      </c>
      <c r="K88" s="113">
        <v>59.356301432210643</v>
      </c>
      <c r="L88" s="113">
        <v>-7578410.0160000026</v>
      </c>
      <c r="M88" s="30" t="s">
        <v>286</v>
      </c>
      <c r="N88" s="114">
        <v>10730244.349999998</v>
      </c>
      <c r="O88" s="114">
        <v>-9170736.3399999961</v>
      </c>
      <c r="P88" s="113">
        <v>18763691.673333336</v>
      </c>
      <c r="Q88" s="113">
        <v>0.5718621120410784</v>
      </c>
      <c r="R88" s="113">
        <v>18308654.366</v>
      </c>
      <c r="S88" s="113">
        <v>0.97574905219850594</v>
      </c>
      <c r="T88" s="24" t="s">
        <v>53</v>
      </c>
      <c r="U88" s="24" t="s">
        <v>52</v>
      </c>
      <c r="V88" s="24" t="s">
        <v>52</v>
      </c>
      <c r="W88" s="110">
        <v>4</v>
      </c>
      <c r="X88" s="27" t="s">
        <v>76</v>
      </c>
    </row>
    <row r="89" spans="1:24" s="28" customFormat="1" ht="11.4" x14ac:dyDescent="0.2">
      <c r="A89" s="29">
        <v>87</v>
      </c>
      <c r="B89" s="20" t="s">
        <v>34</v>
      </c>
      <c r="C89" s="20" t="s">
        <v>247</v>
      </c>
      <c r="D89" s="34" t="s">
        <v>248</v>
      </c>
      <c r="E89" s="36">
        <v>255756918.45000002</v>
      </c>
      <c r="F89" s="36">
        <v>239896383.98000002</v>
      </c>
      <c r="G89" s="36">
        <v>15860534.469999999</v>
      </c>
      <c r="H89" s="94" t="s">
        <v>55</v>
      </c>
      <c r="I89" s="113">
        <v>3172106.8939999999</v>
      </c>
      <c r="J89" s="114">
        <v>0</v>
      </c>
      <c r="K89" s="113">
        <v>0</v>
      </c>
      <c r="L89" s="113">
        <v>3172106.8939999999</v>
      </c>
      <c r="M89" s="30" t="s">
        <v>287</v>
      </c>
      <c r="N89" s="114">
        <v>6898456.8200000003</v>
      </c>
      <c r="O89" s="114">
        <v>-11477951.930000003</v>
      </c>
      <c r="P89" s="113">
        <v>19991365.331666667</v>
      </c>
      <c r="Q89" s="113">
        <v>0.34507182003585946</v>
      </c>
      <c r="R89" s="113">
        <v>3726349.9260000004</v>
      </c>
      <c r="S89" s="113">
        <v>0.18639797053267781</v>
      </c>
      <c r="T89" s="24" t="s">
        <v>53</v>
      </c>
      <c r="U89" s="24" t="s">
        <v>53</v>
      </c>
      <c r="V89" s="24" t="s">
        <v>52</v>
      </c>
      <c r="W89" s="110">
        <v>2</v>
      </c>
      <c r="X89" s="27" t="s">
        <v>56</v>
      </c>
    </row>
    <row r="90" spans="1:24" s="28" customFormat="1" ht="11.4" x14ac:dyDescent="0.2">
      <c r="A90" s="20">
        <v>88</v>
      </c>
      <c r="B90" s="20" t="s">
        <v>34</v>
      </c>
      <c r="C90" s="20" t="s">
        <v>249</v>
      </c>
      <c r="D90" s="34" t="s">
        <v>250</v>
      </c>
      <c r="E90" s="36">
        <v>173514609.64000002</v>
      </c>
      <c r="F90" s="36">
        <v>172145389.02000001</v>
      </c>
      <c r="G90" s="36">
        <v>1369220.6200000048</v>
      </c>
      <c r="H90" s="94" t="s">
        <v>55</v>
      </c>
      <c r="I90" s="113">
        <v>273844.12400000094</v>
      </c>
      <c r="J90" s="114">
        <v>6791539.8200000003</v>
      </c>
      <c r="K90" s="113">
        <v>496.01501181014766</v>
      </c>
      <c r="L90" s="113">
        <v>-6517695.6959999995</v>
      </c>
      <c r="M90" s="30" t="s">
        <v>286</v>
      </c>
      <c r="N90" s="114">
        <v>-695070.11000000313</v>
      </c>
      <c r="O90" s="114">
        <v>-21586106.829999998</v>
      </c>
      <c r="P90" s="113">
        <v>14345449.085000001</v>
      </c>
      <c r="Q90" s="113">
        <v>-4.845230747964438E-2</v>
      </c>
      <c r="R90" s="113">
        <v>5822625.5859999964</v>
      </c>
      <c r="S90" s="113">
        <v>0.40588660218997918</v>
      </c>
      <c r="T90" s="24" t="s">
        <v>53</v>
      </c>
      <c r="U90" s="24" t="s">
        <v>52</v>
      </c>
      <c r="V90" s="24" t="s">
        <v>52</v>
      </c>
      <c r="W90" s="110">
        <v>4</v>
      </c>
      <c r="X90" s="27" t="s">
        <v>76</v>
      </c>
    </row>
    <row r="91" spans="1:24" s="28" customFormat="1" ht="11.4" x14ac:dyDescent="0.2">
      <c r="A91" s="20">
        <v>89</v>
      </c>
      <c r="B91" s="20" t="s">
        <v>34</v>
      </c>
      <c r="C91" s="20" t="s">
        <v>251</v>
      </c>
      <c r="D91" s="34" t="s">
        <v>252</v>
      </c>
      <c r="E91" s="36">
        <v>122815341.33999999</v>
      </c>
      <c r="F91" s="36">
        <v>116513828.85000001</v>
      </c>
      <c r="G91" s="36">
        <v>6301512.4899999797</v>
      </c>
      <c r="H91" s="94" t="s">
        <v>55</v>
      </c>
      <c r="I91" s="113">
        <v>1260302.4979999959</v>
      </c>
      <c r="J91" s="114">
        <v>1250000</v>
      </c>
      <c r="K91" s="113">
        <v>19.836507536621642</v>
      </c>
      <c r="L91" s="113">
        <v>10302.497999995947</v>
      </c>
      <c r="M91" s="30" t="s">
        <v>287</v>
      </c>
      <c r="N91" s="114">
        <v>-4826592.6099999994</v>
      </c>
      <c r="O91" s="130">
        <v>-18060546.93</v>
      </c>
      <c r="P91" s="113">
        <v>9709485.7375000007</v>
      </c>
      <c r="Q91" s="113">
        <v>-0.49710074668102361</v>
      </c>
      <c r="R91" s="113">
        <v>-4836895.1079999954</v>
      </c>
      <c r="S91" s="113">
        <v>-0.49816182223935163</v>
      </c>
      <c r="T91" s="24" t="s">
        <v>53</v>
      </c>
      <c r="U91" s="24" t="s">
        <v>53</v>
      </c>
      <c r="V91" s="24" t="s">
        <v>52</v>
      </c>
      <c r="W91" s="110">
        <v>2</v>
      </c>
      <c r="X91" s="27" t="s">
        <v>56</v>
      </c>
    </row>
    <row r="92" spans="1:24" s="28" customFormat="1" ht="11.4" x14ac:dyDescent="0.2">
      <c r="A92" s="29">
        <v>90</v>
      </c>
      <c r="B92" s="20" t="s">
        <v>34</v>
      </c>
      <c r="C92" s="20" t="s">
        <v>253</v>
      </c>
      <c r="D92" s="34" t="s">
        <v>254</v>
      </c>
      <c r="E92" s="36">
        <v>128239394.69766667</v>
      </c>
      <c r="F92" s="36">
        <v>117952011.43633333</v>
      </c>
      <c r="G92" s="36">
        <v>10287383.261333346</v>
      </c>
      <c r="H92" s="94" t="s">
        <v>55</v>
      </c>
      <c r="I92" s="113">
        <v>2057476.6522666693</v>
      </c>
      <c r="J92" s="114">
        <v>740432.29</v>
      </c>
      <c r="K92" s="113">
        <v>7.1974793899535605</v>
      </c>
      <c r="L92" s="113">
        <v>1317044.3622666693</v>
      </c>
      <c r="M92" s="30" t="s">
        <v>287</v>
      </c>
      <c r="N92" s="114">
        <v>-2288965.5300000049</v>
      </c>
      <c r="O92" s="130">
        <v>-16813987.690000005</v>
      </c>
      <c r="P92" s="113">
        <v>9829334.2863611113</v>
      </c>
      <c r="Q92" s="113">
        <v>-0.2328708601533783</v>
      </c>
      <c r="R92" s="113">
        <v>-3606009.892266674</v>
      </c>
      <c r="S92" s="113">
        <v>-0.36686206687163592</v>
      </c>
      <c r="T92" s="24" t="s">
        <v>53</v>
      </c>
      <c r="U92" s="24" t="s">
        <v>53</v>
      </c>
      <c r="V92" s="24" t="s">
        <v>52</v>
      </c>
      <c r="W92" s="110">
        <v>2</v>
      </c>
      <c r="X92" s="27" t="s">
        <v>56</v>
      </c>
    </row>
    <row r="93" spans="1:24" s="28" customFormat="1" ht="11.4" x14ac:dyDescent="0.2">
      <c r="A93" s="20">
        <v>91</v>
      </c>
      <c r="B93" s="20" t="s">
        <v>34</v>
      </c>
      <c r="C93" s="20" t="s">
        <v>255</v>
      </c>
      <c r="D93" s="34" t="s">
        <v>256</v>
      </c>
      <c r="E93" s="36">
        <v>225118232.62</v>
      </c>
      <c r="F93" s="36">
        <v>156250175.32980001</v>
      </c>
      <c r="G93" s="36">
        <v>68868057.290199995</v>
      </c>
      <c r="H93" s="94" t="s">
        <v>55</v>
      </c>
      <c r="I93" s="113">
        <v>13773611.458039999</v>
      </c>
      <c r="J93" s="114">
        <v>51943883</v>
      </c>
      <c r="K93" s="113">
        <v>75.425218953274694</v>
      </c>
      <c r="L93" s="113">
        <v>-38170271.541960001</v>
      </c>
      <c r="M93" s="23" t="s">
        <v>286</v>
      </c>
      <c r="N93" s="114">
        <v>169973591.06999993</v>
      </c>
      <c r="O93" s="114">
        <v>144386382.09</v>
      </c>
      <c r="P93" s="113">
        <v>13020847.944150001</v>
      </c>
      <c r="Q93" s="113">
        <v>13.053957146190742</v>
      </c>
      <c r="R93" s="113">
        <v>208143862.61195993</v>
      </c>
      <c r="S93" s="113">
        <v>15.985430711175358</v>
      </c>
      <c r="T93" s="24" t="s">
        <v>53</v>
      </c>
      <c r="U93" s="24" t="s">
        <v>52</v>
      </c>
      <c r="V93" s="24" t="s">
        <v>53</v>
      </c>
      <c r="W93" s="110">
        <v>3</v>
      </c>
      <c r="X93" s="99" t="s">
        <v>57</v>
      </c>
    </row>
    <row r="94" spans="1:24" s="28" customFormat="1" ht="11.4" x14ac:dyDescent="0.2">
      <c r="A94" s="20">
        <v>92</v>
      </c>
      <c r="B94" s="20" t="s">
        <v>34</v>
      </c>
      <c r="C94" s="20" t="s">
        <v>257</v>
      </c>
      <c r="D94" s="34" t="s">
        <v>258</v>
      </c>
      <c r="E94" s="36">
        <v>162661108.38999999</v>
      </c>
      <c r="F94" s="36">
        <v>151565039.79999998</v>
      </c>
      <c r="G94" s="36">
        <v>11096068.590000004</v>
      </c>
      <c r="H94" s="94" t="s">
        <v>55</v>
      </c>
      <c r="I94" s="113">
        <v>2219213.7180000008</v>
      </c>
      <c r="J94" s="114">
        <v>5081300</v>
      </c>
      <c r="K94" s="113">
        <v>45.793696738495001</v>
      </c>
      <c r="L94" s="113">
        <v>-2862086.2819999992</v>
      </c>
      <c r="M94" s="23" t="s">
        <v>286</v>
      </c>
      <c r="N94" s="114">
        <v>6220750.3200000003</v>
      </c>
      <c r="O94" s="130">
        <v>-10401386.330000004</v>
      </c>
      <c r="P94" s="113">
        <v>12630419.983333332</v>
      </c>
      <c r="Q94" s="113">
        <v>0.49252125647513606</v>
      </c>
      <c r="R94" s="113">
        <v>9082836.602</v>
      </c>
      <c r="S94" s="113">
        <v>0.71912387822300439</v>
      </c>
      <c r="T94" s="24" t="s">
        <v>53</v>
      </c>
      <c r="U94" s="24" t="s">
        <v>52</v>
      </c>
      <c r="V94" s="24" t="s">
        <v>52</v>
      </c>
      <c r="W94" s="110">
        <v>4</v>
      </c>
      <c r="X94" s="27" t="s">
        <v>76</v>
      </c>
    </row>
    <row r="95" spans="1:24" s="28" customFormat="1" ht="11.4" x14ac:dyDescent="0.2">
      <c r="A95" s="29">
        <v>93</v>
      </c>
      <c r="B95" s="20" t="s">
        <v>34</v>
      </c>
      <c r="C95" s="20" t="s">
        <v>259</v>
      </c>
      <c r="D95" s="34" t="s">
        <v>260</v>
      </c>
      <c r="E95" s="36">
        <v>121563991</v>
      </c>
      <c r="F95" s="36">
        <v>117168807.53999998</v>
      </c>
      <c r="G95" s="36">
        <v>4395183.4600000232</v>
      </c>
      <c r="H95" s="94" t="s">
        <v>55</v>
      </c>
      <c r="I95" s="113">
        <v>879036.6920000047</v>
      </c>
      <c r="J95" s="114">
        <v>793500</v>
      </c>
      <c r="K95" s="113">
        <v>18.053853888501749</v>
      </c>
      <c r="L95" s="113">
        <v>85536.692000004696</v>
      </c>
      <c r="M95" s="30" t="s">
        <v>287</v>
      </c>
      <c r="N95" s="114">
        <v>-831205.01000000536</v>
      </c>
      <c r="O95" s="130">
        <v>-9611817.4200000018</v>
      </c>
      <c r="P95" s="113">
        <v>9764067.2949999981</v>
      </c>
      <c r="Q95" s="113">
        <v>-8.5128971860492036E-2</v>
      </c>
      <c r="R95" s="113">
        <v>-916741.70200001006</v>
      </c>
      <c r="S95" s="113">
        <v>-9.38893264766269E-2</v>
      </c>
      <c r="T95" s="24" t="s">
        <v>53</v>
      </c>
      <c r="U95" s="24" t="s">
        <v>53</v>
      </c>
      <c r="V95" s="24" t="s">
        <v>52</v>
      </c>
      <c r="W95" s="110">
        <v>2</v>
      </c>
      <c r="X95" s="27" t="s">
        <v>56</v>
      </c>
    </row>
    <row r="96" spans="1:24" s="28" customFormat="1" ht="11.4" x14ac:dyDescent="0.2">
      <c r="A96" s="20">
        <v>94</v>
      </c>
      <c r="B96" s="20" t="s">
        <v>34</v>
      </c>
      <c r="C96" s="20" t="s">
        <v>261</v>
      </c>
      <c r="D96" s="34" t="s">
        <v>262</v>
      </c>
      <c r="E96" s="36">
        <v>258774960.03999999</v>
      </c>
      <c r="F96" s="36">
        <v>254084677.14999998</v>
      </c>
      <c r="G96" s="36">
        <v>4690282.8900000155</v>
      </c>
      <c r="H96" s="94" t="s">
        <v>55</v>
      </c>
      <c r="I96" s="113">
        <v>938056.57800000312</v>
      </c>
      <c r="J96" s="114">
        <v>850000</v>
      </c>
      <c r="K96" s="113">
        <v>18.122574265451121</v>
      </c>
      <c r="L96" s="113">
        <v>88056.578000003123</v>
      </c>
      <c r="M96" s="23" t="s">
        <v>287</v>
      </c>
      <c r="N96" s="114">
        <v>15716124.700000003</v>
      </c>
      <c r="O96" s="130">
        <v>-14461688.859999999</v>
      </c>
      <c r="P96" s="113">
        <v>21173723.095833331</v>
      </c>
      <c r="Q96" s="113">
        <v>0.74224663413552894</v>
      </c>
      <c r="R96" s="113">
        <v>15628068.122</v>
      </c>
      <c r="S96" s="113">
        <v>0.73808786727145625</v>
      </c>
      <c r="T96" s="24" t="s">
        <v>53</v>
      </c>
      <c r="U96" s="24" t="s">
        <v>53</v>
      </c>
      <c r="V96" s="24" t="s">
        <v>52</v>
      </c>
      <c r="W96" s="110">
        <v>2</v>
      </c>
      <c r="X96" s="27" t="s">
        <v>56</v>
      </c>
    </row>
    <row r="97" spans="1:24" s="28" customFormat="1" ht="11.4" x14ac:dyDescent="0.2">
      <c r="A97" s="20">
        <v>95</v>
      </c>
      <c r="B97" s="20" t="s">
        <v>34</v>
      </c>
      <c r="C97" s="20" t="s">
        <v>263</v>
      </c>
      <c r="D97" s="34" t="s">
        <v>264</v>
      </c>
      <c r="E97" s="36">
        <v>272122107.27807796</v>
      </c>
      <c r="F97" s="36">
        <v>257966959.63626668</v>
      </c>
      <c r="G97" s="36">
        <v>14155147.641811281</v>
      </c>
      <c r="H97" s="94" t="s">
        <v>55</v>
      </c>
      <c r="I97" s="113">
        <v>2831029.5283622565</v>
      </c>
      <c r="J97" s="114">
        <v>21317800</v>
      </c>
      <c r="K97" s="113">
        <v>150.60104309355117</v>
      </c>
      <c r="L97" s="113">
        <v>-18486770.471637744</v>
      </c>
      <c r="M97" s="23" t="s">
        <v>286</v>
      </c>
      <c r="N97" s="114">
        <v>43025619.330000013</v>
      </c>
      <c r="O97" s="114">
        <v>7043171.7100000009</v>
      </c>
      <c r="P97" s="113">
        <v>21497246.636355557</v>
      </c>
      <c r="Q97" s="113">
        <v>2.0014479090190211</v>
      </c>
      <c r="R97" s="113">
        <v>61512389.801637754</v>
      </c>
      <c r="S97" s="113">
        <v>2.8614078278103614</v>
      </c>
      <c r="T97" s="24" t="s">
        <v>53</v>
      </c>
      <c r="U97" s="24" t="s">
        <v>52</v>
      </c>
      <c r="V97" s="24" t="s">
        <v>53</v>
      </c>
      <c r="W97" s="110">
        <v>3</v>
      </c>
      <c r="X97" s="99" t="s">
        <v>57</v>
      </c>
    </row>
    <row r="98" spans="1:24" s="28" customFormat="1" ht="11.4" x14ac:dyDescent="0.2">
      <c r="A98" s="29">
        <v>96</v>
      </c>
      <c r="B98" s="20" t="s">
        <v>34</v>
      </c>
      <c r="C98" s="20" t="s">
        <v>265</v>
      </c>
      <c r="D98" s="34" t="s">
        <v>266</v>
      </c>
      <c r="E98" s="36">
        <v>70558947.829999998</v>
      </c>
      <c r="F98" s="36">
        <v>64924500.140000008</v>
      </c>
      <c r="G98" s="36">
        <v>5634447.6899999902</v>
      </c>
      <c r="H98" s="94" t="s">
        <v>55</v>
      </c>
      <c r="I98" s="113">
        <v>1126889.5379999981</v>
      </c>
      <c r="J98" s="114">
        <v>3638100</v>
      </c>
      <c r="K98" s="113">
        <v>64.568884124293049</v>
      </c>
      <c r="L98" s="113">
        <v>-2511210.4620000022</v>
      </c>
      <c r="M98" s="30" t="s">
        <v>286</v>
      </c>
      <c r="N98" s="131">
        <v>821549.3300000038</v>
      </c>
      <c r="O98" s="130">
        <v>-5271573.7699999977</v>
      </c>
      <c r="P98" s="113">
        <v>5410375.0116666676</v>
      </c>
      <c r="Q98" s="113">
        <v>0.15184702136699491</v>
      </c>
      <c r="R98" s="113">
        <v>3332759.792000006</v>
      </c>
      <c r="S98" s="113">
        <v>0.61599423049481894</v>
      </c>
      <c r="T98" s="24" t="s">
        <v>53</v>
      </c>
      <c r="U98" s="24" t="s">
        <v>52</v>
      </c>
      <c r="V98" s="24" t="s">
        <v>52</v>
      </c>
      <c r="W98" s="110">
        <v>4</v>
      </c>
      <c r="X98" s="27" t="s">
        <v>76</v>
      </c>
    </row>
    <row r="99" spans="1:24" s="28" customFormat="1" ht="11.4" x14ac:dyDescent="0.2">
      <c r="A99" s="20">
        <v>97</v>
      </c>
      <c r="B99" s="37" t="s">
        <v>35</v>
      </c>
      <c r="C99" s="20" t="s">
        <v>267</v>
      </c>
      <c r="D99" s="34" t="s">
        <v>36</v>
      </c>
      <c r="E99" s="143">
        <v>433180963.58099997</v>
      </c>
      <c r="F99" s="143">
        <v>443075742.83100009</v>
      </c>
      <c r="G99" s="117">
        <v>-9894779.2500001192</v>
      </c>
      <c r="H99" s="94" t="s">
        <v>51</v>
      </c>
      <c r="I99" s="117">
        <v>0</v>
      </c>
      <c r="J99" s="144">
        <v>24215990</v>
      </c>
      <c r="K99" s="117">
        <v>-244.73502023806856</v>
      </c>
      <c r="L99" s="117">
        <v>-24215990</v>
      </c>
      <c r="M99" s="23" t="s">
        <v>286</v>
      </c>
      <c r="N99" s="144">
        <v>208292624.66000003</v>
      </c>
      <c r="O99" s="144">
        <v>49483844.149999984</v>
      </c>
      <c r="P99" s="117">
        <v>36922978.56925001</v>
      </c>
      <c r="Q99" s="117">
        <v>5.64127361148131</v>
      </c>
      <c r="R99" s="117">
        <v>184076634.66000003</v>
      </c>
      <c r="S99" s="117">
        <v>4.9854221352906158</v>
      </c>
      <c r="T99" s="145" t="s">
        <v>52</v>
      </c>
      <c r="U99" s="145" t="s">
        <v>52</v>
      </c>
      <c r="V99" s="145" t="s">
        <v>53</v>
      </c>
      <c r="W99" s="110">
        <v>6</v>
      </c>
      <c r="X99" s="99" t="s">
        <v>77</v>
      </c>
    </row>
    <row r="100" spans="1:24" s="28" customFormat="1" ht="11.4" x14ac:dyDescent="0.2">
      <c r="A100" s="20">
        <v>98</v>
      </c>
      <c r="B100" s="37" t="s">
        <v>35</v>
      </c>
      <c r="C100" s="20" t="s">
        <v>268</v>
      </c>
      <c r="D100" s="34" t="s">
        <v>269</v>
      </c>
      <c r="E100" s="147">
        <v>117999047.02000001</v>
      </c>
      <c r="F100" s="148">
        <v>117333633.09090909</v>
      </c>
      <c r="G100" s="149">
        <v>665413.92909091711</v>
      </c>
      <c r="H100" s="94" t="s">
        <v>55</v>
      </c>
      <c r="I100" s="149">
        <v>133082.79</v>
      </c>
      <c r="J100" s="147">
        <v>5161130.4800000004</v>
      </c>
      <c r="K100" s="149">
        <v>775.62705773999858</v>
      </c>
      <c r="L100" s="149">
        <v>-5028047.6900000004</v>
      </c>
      <c r="M100" s="30" t="s">
        <v>286</v>
      </c>
      <c r="N100" s="143">
        <v>4651140.3899999894</v>
      </c>
      <c r="O100" s="143">
        <v>-16007665.619999995</v>
      </c>
      <c r="P100" s="117">
        <v>9777802.7575757578</v>
      </c>
      <c r="Q100" s="117">
        <v>0.47568359735998211</v>
      </c>
      <c r="R100" s="117">
        <v>-376907.30000001099</v>
      </c>
      <c r="S100" s="117">
        <v>-3.8547239021362589E-2</v>
      </c>
      <c r="T100" s="146" t="s">
        <v>53</v>
      </c>
      <c r="U100" s="146" t="s">
        <v>52</v>
      </c>
      <c r="V100" s="146" t="s">
        <v>52</v>
      </c>
      <c r="W100" s="110">
        <v>4</v>
      </c>
      <c r="X100" s="27" t="s">
        <v>76</v>
      </c>
    </row>
    <row r="101" spans="1:24" s="28" customFormat="1" ht="11.4" x14ac:dyDescent="0.2">
      <c r="A101" s="29">
        <v>99</v>
      </c>
      <c r="B101" s="37" t="s">
        <v>35</v>
      </c>
      <c r="C101" s="20" t="s">
        <v>270</v>
      </c>
      <c r="D101" s="34" t="s">
        <v>271</v>
      </c>
      <c r="E101" s="147">
        <v>173111524.01484844</v>
      </c>
      <c r="F101" s="148">
        <v>182304835.21000001</v>
      </c>
      <c r="G101" s="149">
        <v>-9193311.1951515675</v>
      </c>
      <c r="H101" s="94" t="s">
        <v>51</v>
      </c>
      <c r="I101" s="117">
        <v>0</v>
      </c>
      <c r="J101" s="117">
        <v>0</v>
      </c>
      <c r="K101" s="117">
        <v>0</v>
      </c>
      <c r="L101" s="117">
        <v>0</v>
      </c>
      <c r="M101" s="30" t="s">
        <v>287</v>
      </c>
      <c r="N101" s="143">
        <v>53301.149999991525</v>
      </c>
      <c r="O101" s="143">
        <v>-36371424.730000004</v>
      </c>
      <c r="P101" s="117">
        <v>15192069.600833334</v>
      </c>
      <c r="Q101" s="117">
        <v>3.50848511101264E-3</v>
      </c>
      <c r="R101" s="117">
        <v>53301.149999991525</v>
      </c>
      <c r="S101" s="117">
        <v>3.5084851110126422E-3</v>
      </c>
      <c r="T101" s="146" t="s">
        <v>52</v>
      </c>
      <c r="U101" s="146" t="s">
        <v>53</v>
      </c>
      <c r="V101" s="146" t="s">
        <v>52</v>
      </c>
      <c r="W101" s="110">
        <v>6</v>
      </c>
      <c r="X101" s="27" t="s">
        <v>77</v>
      </c>
    </row>
    <row r="102" spans="1:24" s="28" customFormat="1" ht="11.4" x14ac:dyDescent="0.2">
      <c r="A102" s="20">
        <v>100</v>
      </c>
      <c r="B102" s="37" t="s">
        <v>35</v>
      </c>
      <c r="C102" s="20" t="s">
        <v>272</v>
      </c>
      <c r="D102" s="34" t="s">
        <v>273</v>
      </c>
      <c r="E102" s="147">
        <v>302844085.64999998</v>
      </c>
      <c r="F102" s="148">
        <v>311488913.47999996</v>
      </c>
      <c r="G102" s="149">
        <v>-8644827.8299999833</v>
      </c>
      <c r="H102" s="94" t="s">
        <v>51</v>
      </c>
      <c r="I102" s="117">
        <v>0</v>
      </c>
      <c r="J102" s="117">
        <v>0</v>
      </c>
      <c r="K102" s="117">
        <v>0</v>
      </c>
      <c r="L102" s="117">
        <v>0</v>
      </c>
      <c r="M102" s="30" t="s">
        <v>287</v>
      </c>
      <c r="N102" s="143">
        <v>970285.41999998991</v>
      </c>
      <c r="O102" s="143">
        <v>-42420936.910000011</v>
      </c>
      <c r="P102" s="117">
        <v>25957409.456666663</v>
      </c>
      <c r="Q102" s="117">
        <v>3.7379901935891781E-2</v>
      </c>
      <c r="R102" s="117">
        <v>970285.41999998991</v>
      </c>
      <c r="S102" s="117">
        <v>3.7379901935891781E-2</v>
      </c>
      <c r="T102" s="146" t="s">
        <v>52</v>
      </c>
      <c r="U102" s="146" t="s">
        <v>53</v>
      </c>
      <c r="V102" s="146" t="s">
        <v>52</v>
      </c>
      <c r="W102" s="110">
        <v>6</v>
      </c>
      <c r="X102" s="27" t="s">
        <v>77</v>
      </c>
    </row>
    <row r="103" spans="1:24" s="28" customFormat="1" ht="11.4" x14ac:dyDescent="0.2">
      <c r="A103" s="20" t="s">
        <v>288</v>
      </c>
      <c r="B103" s="37" t="s">
        <v>35</v>
      </c>
      <c r="C103" s="20" t="s">
        <v>274</v>
      </c>
      <c r="D103" s="34" t="s">
        <v>275</v>
      </c>
      <c r="E103" s="147">
        <v>125043983.29000002</v>
      </c>
      <c r="F103" s="148">
        <v>120632538.70000002</v>
      </c>
      <c r="G103" s="149">
        <v>4411444.5900000036</v>
      </c>
      <c r="H103" s="94" t="s">
        <v>55</v>
      </c>
      <c r="I103" s="149">
        <v>882288.92</v>
      </c>
      <c r="J103" s="149">
        <v>18338.8</v>
      </c>
      <c r="K103" s="117">
        <v>0</v>
      </c>
      <c r="L103" s="149">
        <v>863950.12</v>
      </c>
      <c r="M103" s="30" t="s">
        <v>287</v>
      </c>
      <c r="N103" s="143">
        <v>-5816568.0100000016</v>
      </c>
      <c r="O103" s="143">
        <v>-18409650.539999999</v>
      </c>
      <c r="P103" s="117">
        <v>10052711.558333335</v>
      </c>
      <c r="Q103" s="117">
        <v>-0.57860687400090338</v>
      </c>
      <c r="R103" s="117">
        <v>-4952617.8900000015</v>
      </c>
      <c r="S103" s="117">
        <v>-0.49266487566675082</v>
      </c>
      <c r="T103" s="146" t="s">
        <v>53</v>
      </c>
      <c r="U103" s="146" t="s">
        <v>53</v>
      </c>
      <c r="V103" s="146" t="s">
        <v>52</v>
      </c>
      <c r="W103" s="110">
        <v>2</v>
      </c>
      <c r="X103" s="27" t="s">
        <v>56</v>
      </c>
    </row>
    <row r="104" spans="1:24" s="28" customFormat="1" ht="11.4" x14ac:dyDescent="0.2">
      <c r="A104" s="29">
        <v>102</v>
      </c>
      <c r="B104" s="37" t="s">
        <v>35</v>
      </c>
      <c r="C104" s="20" t="s">
        <v>276</v>
      </c>
      <c r="D104" s="34" t="s">
        <v>277</v>
      </c>
      <c r="E104" s="147">
        <v>116029729.98</v>
      </c>
      <c r="F104" s="148">
        <v>115798414.75000001</v>
      </c>
      <c r="G104" s="149">
        <v>231315.22999998927</v>
      </c>
      <c r="H104" s="94" t="s">
        <v>55</v>
      </c>
      <c r="I104" s="149">
        <v>46263.05</v>
      </c>
      <c r="J104" s="117">
        <v>0</v>
      </c>
      <c r="K104" s="117">
        <v>0</v>
      </c>
      <c r="L104" s="149">
        <v>46263.05</v>
      </c>
      <c r="M104" s="30" t="s">
        <v>287</v>
      </c>
      <c r="N104" s="143">
        <v>75327.119999998249</v>
      </c>
      <c r="O104" s="143">
        <v>-14454025.280000001</v>
      </c>
      <c r="P104" s="117">
        <v>9649867.895833334</v>
      </c>
      <c r="Q104" s="117">
        <v>7.8060260319753553E-3</v>
      </c>
      <c r="R104" s="117">
        <v>29064.069999998246</v>
      </c>
      <c r="S104" s="117">
        <v>3.0118619564261256E-3</v>
      </c>
      <c r="T104" s="146" t="s">
        <v>53</v>
      </c>
      <c r="U104" s="146" t="s">
        <v>53</v>
      </c>
      <c r="V104" s="146" t="s">
        <v>52</v>
      </c>
      <c r="W104" s="110">
        <v>2</v>
      </c>
      <c r="X104" s="27" t="s">
        <v>56</v>
      </c>
    </row>
    <row r="105" spans="1:24" s="28" customFormat="1" ht="11.4" x14ac:dyDescent="0.2">
      <c r="A105" s="20">
        <v>103</v>
      </c>
      <c r="B105" s="37" t="s">
        <v>35</v>
      </c>
      <c r="C105" s="20" t="s">
        <v>278</v>
      </c>
      <c r="D105" s="34" t="s">
        <v>279</v>
      </c>
      <c r="E105" s="147">
        <v>105844385</v>
      </c>
      <c r="F105" s="148">
        <v>106548076</v>
      </c>
      <c r="G105" s="149">
        <v>-703691</v>
      </c>
      <c r="H105" s="94" t="s">
        <v>51</v>
      </c>
      <c r="I105" s="117">
        <v>0</v>
      </c>
      <c r="J105" s="117">
        <v>0</v>
      </c>
      <c r="K105" s="117">
        <v>0</v>
      </c>
      <c r="L105" s="117">
        <v>0</v>
      </c>
      <c r="M105" s="30" t="s">
        <v>287</v>
      </c>
      <c r="N105" s="143">
        <v>950568.1899999918</v>
      </c>
      <c r="O105" s="143">
        <v>-13531244.239999995</v>
      </c>
      <c r="P105" s="117">
        <v>8879006.333333334</v>
      </c>
      <c r="Q105" s="117">
        <v>0.10705794706231862</v>
      </c>
      <c r="R105" s="117">
        <v>950568.1899999918</v>
      </c>
      <c r="S105" s="117">
        <v>0.10705794706231862</v>
      </c>
      <c r="T105" s="146" t="s">
        <v>52</v>
      </c>
      <c r="U105" s="146" t="s">
        <v>53</v>
      </c>
      <c r="V105" s="146" t="s">
        <v>52</v>
      </c>
      <c r="W105" s="110">
        <v>6</v>
      </c>
      <c r="X105" s="27" t="s">
        <v>77</v>
      </c>
    </row>
    <row r="106" spans="1:24" x14ac:dyDescent="0.25">
      <c r="E106" s="150"/>
      <c r="F106" s="150"/>
      <c r="G106" s="150"/>
      <c r="I106" s="151"/>
      <c r="J106" s="152"/>
      <c r="K106" s="152"/>
      <c r="L106" s="152"/>
    </row>
    <row r="112" spans="1:24" x14ac:dyDescent="0.25">
      <c r="M112" s="5" t="s">
        <v>296</v>
      </c>
    </row>
    <row r="122" spans="9:17" ht="21" x14ac:dyDescent="0.25">
      <c r="I122" s="125"/>
      <c r="J122" s="126"/>
      <c r="K122" s="127"/>
      <c r="L122" s="126"/>
      <c r="M122" s="126"/>
      <c r="N122" s="126"/>
      <c r="O122" s="126"/>
      <c r="P122" s="126"/>
      <c r="Q122" s="126"/>
    </row>
    <row r="123" spans="9:17" ht="21" x14ac:dyDescent="0.25">
      <c r="I123" s="125"/>
      <c r="J123" s="126"/>
      <c r="K123" s="127"/>
      <c r="L123" s="126"/>
      <c r="M123" s="126"/>
      <c r="N123" s="126"/>
      <c r="O123" s="126"/>
      <c r="P123" s="126"/>
      <c r="Q123" s="126"/>
    </row>
    <row r="124" spans="9:17" ht="21" x14ac:dyDescent="0.25">
      <c r="I124" s="128"/>
      <c r="J124" s="126"/>
      <c r="K124" s="127"/>
      <c r="L124" s="126"/>
      <c r="M124" s="126"/>
      <c r="N124" s="126"/>
      <c r="O124" s="126"/>
      <c r="P124" s="126"/>
      <c r="Q124" s="126"/>
    </row>
  </sheetData>
  <autoFilter ref="A2:X105" xr:uid="{00000000-0009-0000-0000-000000000000}"/>
  <conditionalFormatting sqref="G3:G105">
    <cfRule type="cellIs" dxfId="17" priority="3" operator="lessThanOrEqual">
      <formula>0</formula>
    </cfRule>
  </conditionalFormatting>
  <conditionalFormatting sqref="H3:H105">
    <cfRule type="containsText" dxfId="16" priority="7" operator="containsText" text="ขาดดุล">
      <formula>NOT(ISERROR(SEARCH("ขาดดุล",H3)))</formula>
    </cfRule>
    <cfRule type="containsText" dxfId="15" priority="8" operator="containsText" text="เกินดุล">
      <formula>NOT(ISERROR(SEARCH("เกินดุล",H3)))</formula>
    </cfRule>
  </conditionalFormatting>
  <conditionalFormatting sqref="I3:L105">
    <cfRule type="cellIs" dxfId="14" priority="2" operator="lessThan">
      <formula>0</formula>
    </cfRule>
  </conditionalFormatting>
  <conditionalFormatting sqref="M3:M105">
    <cfRule type="containsText" dxfId="13" priority="4" operator="containsText" text="ไม่เกิน">
      <formula>NOT(ISERROR(SEARCH("ไม่เกิน",M3)))</formula>
    </cfRule>
    <cfRule type="containsText" dxfId="12" priority="5" operator="containsText" text="เกิน">
      <formula>NOT(ISERROR(SEARCH("เกิน",M3)))</formula>
    </cfRule>
  </conditionalFormatting>
  <conditionalFormatting sqref="N3:S106">
    <cfRule type="cellIs" dxfId="11" priority="1" operator="lessThan">
      <formula>0</formula>
    </cfRule>
  </conditionalFormatting>
  <conditionalFormatting sqref="T3:T105">
    <cfRule type="containsText" dxfId="10" priority="24" operator="containsText" text="Normal">
      <formula>NOT(ISERROR(SEARCH("Normal",T3)))</formula>
    </cfRule>
  </conditionalFormatting>
  <conditionalFormatting sqref="T3:V105">
    <cfRule type="containsText" dxfId="9" priority="19" operator="containsText" text="Risk">
      <formula>NOT(ISERROR(SEARCH("Risk",T3)))</formula>
    </cfRule>
  </conditionalFormatting>
  <conditionalFormatting sqref="U3:V105">
    <cfRule type="containsText" dxfId="8" priority="20" operator="containsText" text="Normal">
      <formula>NOT(ISERROR(SEARCH("Normal",U3)))</formula>
    </cfRule>
  </conditionalFormatting>
  <conditionalFormatting sqref="W3:W105">
    <cfRule type="cellIs" dxfId="7" priority="9" operator="equal">
      <formula>8</formula>
    </cfRule>
    <cfRule type="cellIs" dxfId="6" priority="10" operator="equal">
      <formula>7</formula>
    </cfRule>
    <cfRule type="cellIs" dxfId="5" priority="11" operator="equal">
      <formula>6</formula>
    </cfRule>
    <cfRule type="cellIs" dxfId="4" priority="12" operator="equal">
      <formula>4</formula>
    </cfRule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ageMargins left="0.18" right="0.32" top="0.38" bottom="0.75" header="0.3" footer="0.3"/>
  <pageSetup scale="28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8"/>
  <sheetViews>
    <sheetView tabSelected="1" topLeftCell="B1" workbookViewId="0">
      <selection activeCell="B16" sqref="B16:O16"/>
    </sheetView>
  </sheetViews>
  <sheetFormatPr defaultColWidth="9.09765625" defaultRowHeight="13.8" x14ac:dyDescent="0.25"/>
  <cols>
    <col min="1" max="1" width="0" style="43" hidden="1" customWidth="1"/>
    <col min="2" max="2" width="9.8984375" style="46" customWidth="1"/>
    <col min="3" max="5" width="6.09765625" style="46" customWidth="1"/>
    <col min="6" max="13" width="4.59765625" style="46" customWidth="1"/>
    <col min="14" max="14" width="16.3984375" style="46" customWidth="1"/>
    <col min="15" max="15" width="56.59765625" style="46" customWidth="1"/>
    <col min="16" max="23" width="8.69921875" style="44"/>
    <col min="24" max="16384" width="9.09765625" style="46"/>
  </cols>
  <sheetData>
    <row r="1" spans="1:23" s="44" customFormat="1" x14ac:dyDescent="0.25">
      <c r="A1" s="43"/>
    </row>
    <row r="2" spans="1:23" s="44" customFormat="1" x14ac:dyDescent="0.25">
      <c r="A2" s="43"/>
      <c r="B2" s="177" t="s">
        <v>294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</row>
    <row r="3" spans="1:23" s="44" customFormat="1" x14ac:dyDescent="0.25">
      <c r="A3" s="43"/>
    </row>
    <row r="4" spans="1:23" ht="39" customHeight="1" x14ac:dyDescent="0.25">
      <c r="B4" s="181" t="s">
        <v>1</v>
      </c>
      <c r="C4" s="178" t="s">
        <v>81</v>
      </c>
      <c r="D4" s="178"/>
      <c r="E4" s="178"/>
      <c r="F4" s="179" t="s">
        <v>80</v>
      </c>
      <c r="G4" s="179"/>
      <c r="H4" s="179"/>
      <c r="I4" s="179"/>
      <c r="J4" s="179"/>
      <c r="K4" s="179"/>
      <c r="L4" s="179"/>
      <c r="M4" s="179"/>
      <c r="N4" s="180" t="s">
        <v>79</v>
      </c>
      <c r="O4" s="45" t="s">
        <v>110</v>
      </c>
      <c r="U4" s="175"/>
    </row>
    <row r="5" spans="1:23" ht="15" customHeight="1" x14ac:dyDescent="0.25">
      <c r="B5" s="182"/>
      <c r="C5" s="47" t="s">
        <v>51</v>
      </c>
      <c r="D5" s="47" t="s">
        <v>58</v>
      </c>
      <c r="E5" s="47" t="s">
        <v>55</v>
      </c>
      <c r="F5" s="41">
        <v>1</v>
      </c>
      <c r="G5" s="26">
        <v>2</v>
      </c>
      <c r="H5" s="26">
        <v>3</v>
      </c>
      <c r="I5" s="42">
        <v>4</v>
      </c>
      <c r="J5" s="26">
        <v>5</v>
      </c>
      <c r="K5" s="42">
        <v>6</v>
      </c>
      <c r="L5" s="42">
        <v>7</v>
      </c>
      <c r="M5" s="48">
        <v>8</v>
      </c>
      <c r="N5" s="178"/>
      <c r="O5" s="49" t="s">
        <v>82</v>
      </c>
      <c r="U5" s="175"/>
    </row>
    <row r="6" spans="1:23" ht="22.8" x14ac:dyDescent="0.25">
      <c r="A6" s="43">
        <v>25</v>
      </c>
      <c r="B6" s="52" t="s">
        <v>4</v>
      </c>
      <c r="C6" s="48"/>
      <c r="D6" s="50"/>
      <c r="E6" s="51">
        <v>25</v>
      </c>
      <c r="F6" s="52">
        <v>4</v>
      </c>
      <c r="G6" s="52">
        <v>12</v>
      </c>
      <c r="H6" s="52">
        <v>7</v>
      </c>
      <c r="I6" s="52">
        <v>2</v>
      </c>
      <c r="J6" s="52"/>
      <c r="K6" s="52"/>
      <c r="L6" s="52"/>
      <c r="M6" s="52"/>
      <c r="N6" s="47">
        <v>9</v>
      </c>
      <c r="O6" s="14" t="s">
        <v>292</v>
      </c>
      <c r="U6" s="175"/>
    </row>
    <row r="7" spans="1:23" x14ac:dyDescent="0.25">
      <c r="A7" s="43">
        <v>8</v>
      </c>
      <c r="B7" s="52" t="s">
        <v>29</v>
      </c>
      <c r="C7" s="48"/>
      <c r="D7" s="50"/>
      <c r="E7" s="51">
        <v>8</v>
      </c>
      <c r="F7" s="52"/>
      <c r="G7" s="52">
        <v>3</v>
      </c>
      <c r="H7" s="52">
        <v>3</v>
      </c>
      <c r="I7" s="52">
        <v>2</v>
      </c>
      <c r="J7" s="52"/>
      <c r="K7" s="52"/>
      <c r="L7" s="52"/>
      <c r="M7" s="52"/>
      <c r="N7" s="52">
        <v>5</v>
      </c>
      <c r="O7" s="154" t="s">
        <v>301</v>
      </c>
      <c r="U7" s="175"/>
    </row>
    <row r="8" spans="1:23" x14ac:dyDescent="0.25">
      <c r="A8" s="43">
        <v>13</v>
      </c>
      <c r="B8" s="52" t="s">
        <v>30</v>
      </c>
      <c r="C8" s="48"/>
      <c r="D8" s="50"/>
      <c r="E8" s="53">
        <v>13</v>
      </c>
      <c r="F8" s="52">
        <v>1</v>
      </c>
      <c r="G8" s="52">
        <v>7</v>
      </c>
      <c r="H8" s="52">
        <v>1</v>
      </c>
      <c r="I8" s="52">
        <v>4</v>
      </c>
      <c r="J8" s="52"/>
      <c r="K8" s="52"/>
      <c r="L8" s="52"/>
      <c r="M8" s="52"/>
      <c r="N8" s="47">
        <v>5</v>
      </c>
      <c r="O8" s="14" t="s">
        <v>299</v>
      </c>
      <c r="U8" s="175"/>
    </row>
    <row r="9" spans="1:23" ht="15" customHeight="1" x14ac:dyDescent="0.25">
      <c r="A9" s="43">
        <v>8</v>
      </c>
      <c r="B9" s="52" t="s">
        <v>31</v>
      </c>
      <c r="C9" s="48"/>
      <c r="D9" s="50"/>
      <c r="E9" s="53">
        <v>8</v>
      </c>
      <c r="F9" s="52">
        <v>2</v>
      </c>
      <c r="G9" s="52">
        <v>4</v>
      </c>
      <c r="H9" s="52">
        <v>1</v>
      </c>
      <c r="I9" s="52">
        <v>1</v>
      </c>
      <c r="J9" s="52"/>
      <c r="K9" s="52"/>
      <c r="L9" s="52"/>
      <c r="M9" s="52"/>
      <c r="N9" s="47">
        <v>2</v>
      </c>
      <c r="O9" s="14" t="s">
        <v>297</v>
      </c>
      <c r="U9" s="173"/>
    </row>
    <row r="10" spans="1:23" ht="15" customHeight="1" x14ac:dyDescent="0.25">
      <c r="A10" s="43">
        <v>15</v>
      </c>
      <c r="B10" s="52" t="s">
        <v>32</v>
      </c>
      <c r="C10" s="48"/>
      <c r="D10" s="50"/>
      <c r="E10" s="53">
        <v>15</v>
      </c>
      <c r="F10" s="52">
        <v>4</v>
      </c>
      <c r="G10" s="52">
        <v>9</v>
      </c>
      <c r="H10" s="52">
        <v>1</v>
      </c>
      <c r="I10" s="52">
        <v>1</v>
      </c>
      <c r="J10" s="52"/>
      <c r="K10" s="52"/>
      <c r="L10" s="52"/>
      <c r="M10" s="52"/>
      <c r="N10" s="52">
        <v>2</v>
      </c>
      <c r="O10" s="154" t="s">
        <v>302</v>
      </c>
      <c r="U10" s="172"/>
    </row>
    <row r="11" spans="1:23" s="44" customFormat="1" ht="30" customHeight="1" x14ac:dyDescent="0.25">
      <c r="A11" s="43">
        <v>9</v>
      </c>
      <c r="B11" s="52" t="s">
        <v>33</v>
      </c>
      <c r="C11" s="48"/>
      <c r="D11" s="50"/>
      <c r="E11" s="53">
        <v>9</v>
      </c>
      <c r="F11" s="52"/>
      <c r="G11" s="52">
        <v>2</v>
      </c>
      <c r="H11" s="52">
        <v>5</v>
      </c>
      <c r="I11" s="52">
        <v>2</v>
      </c>
      <c r="J11" s="52"/>
      <c r="K11" s="52"/>
      <c r="L11" s="52"/>
      <c r="M11" s="52"/>
      <c r="N11" s="52">
        <v>7</v>
      </c>
      <c r="O11" s="154" t="s">
        <v>300</v>
      </c>
      <c r="U11" s="172"/>
      <c r="W11" s="44" t="s">
        <v>284</v>
      </c>
    </row>
    <row r="12" spans="1:23" ht="34.200000000000003" x14ac:dyDescent="0.25">
      <c r="A12" s="43">
        <v>18</v>
      </c>
      <c r="B12" s="47" t="s">
        <v>34</v>
      </c>
      <c r="C12" s="48"/>
      <c r="D12" s="50">
        <v>1</v>
      </c>
      <c r="E12" s="53">
        <v>17</v>
      </c>
      <c r="F12" s="52"/>
      <c r="G12" s="52">
        <v>8</v>
      </c>
      <c r="H12" s="52">
        <v>5</v>
      </c>
      <c r="I12" s="52">
        <v>5</v>
      </c>
      <c r="J12" s="52"/>
      <c r="K12" s="52"/>
      <c r="L12" s="52"/>
      <c r="M12" s="52"/>
      <c r="N12" s="47">
        <v>10</v>
      </c>
      <c r="O12" s="14" t="s">
        <v>298</v>
      </c>
      <c r="U12" s="172"/>
    </row>
    <row r="13" spans="1:23" ht="15" customHeight="1" x14ac:dyDescent="0.25">
      <c r="A13" s="43">
        <v>7</v>
      </c>
      <c r="B13" s="138" t="s">
        <v>35</v>
      </c>
      <c r="C13" s="139">
        <v>4</v>
      </c>
      <c r="D13" s="140"/>
      <c r="E13" s="141">
        <v>3</v>
      </c>
      <c r="F13" s="142"/>
      <c r="G13" s="142">
        <v>2</v>
      </c>
      <c r="H13" s="142"/>
      <c r="I13" s="142">
        <v>1</v>
      </c>
      <c r="J13" s="142"/>
      <c r="K13" s="142">
        <v>4</v>
      </c>
      <c r="L13" s="142"/>
      <c r="M13" s="142"/>
      <c r="N13" s="47">
        <v>2</v>
      </c>
      <c r="O13" s="14" t="s">
        <v>293</v>
      </c>
      <c r="U13" s="172"/>
    </row>
    <row r="14" spans="1:23" s="44" customFormat="1" x14ac:dyDescent="0.25">
      <c r="A14" s="43"/>
      <c r="B14" s="112" t="s">
        <v>83</v>
      </c>
      <c r="C14" s="112">
        <f>SUM(C6:C13)</f>
        <v>4</v>
      </c>
      <c r="D14" s="112">
        <f>SUM(D6:D13)</f>
        <v>1</v>
      </c>
      <c r="E14" s="112">
        <f t="shared" ref="E14:N14" si="0">SUM(E6:E13)</f>
        <v>98</v>
      </c>
      <c r="F14" s="112">
        <f t="shared" si="0"/>
        <v>11</v>
      </c>
      <c r="G14" s="112">
        <f t="shared" si="0"/>
        <v>47</v>
      </c>
      <c r="H14" s="112">
        <f t="shared" si="0"/>
        <v>23</v>
      </c>
      <c r="I14" s="112">
        <f>SUM(I6:I13)</f>
        <v>18</v>
      </c>
      <c r="J14" s="112">
        <f t="shared" si="0"/>
        <v>0</v>
      </c>
      <c r="K14" s="112">
        <f t="shared" si="0"/>
        <v>4</v>
      </c>
      <c r="L14" s="112">
        <f t="shared" si="0"/>
        <v>0</v>
      </c>
      <c r="M14" s="112"/>
      <c r="N14" s="112">
        <f t="shared" si="0"/>
        <v>42</v>
      </c>
      <c r="O14" s="112"/>
      <c r="U14" s="172"/>
    </row>
    <row r="15" spans="1:23" s="44" customFormat="1" x14ac:dyDescent="0.25">
      <c r="A15" s="43"/>
      <c r="B15" s="176" t="s">
        <v>303</v>
      </c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U15" s="174"/>
    </row>
    <row r="16" spans="1:23" s="44" customFormat="1" x14ac:dyDescent="0.25">
      <c r="A16" s="43"/>
      <c r="B16" s="176" t="s">
        <v>295</v>
      </c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</row>
    <row r="17" spans="1:15" s="44" customFormat="1" x14ac:dyDescent="0.25">
      <c r="A17" s="43"/>
      <c r="B17" s="111" t="s">
        <v>111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</row>
    <row r="18" spans="1:15" s="44" customFormat="1" x14ac:dyDescent="0.25">
      <c r="A18" s="43"/>
    </row>
    <row r="19" spans="1:15" s="44" customFormat="1" x14ac:dyDescent="0.25">
      <c r="A19" s="43"/>
    </row>
    <row r="20" spans="1:15" s="44" customFormat="1" x14ac:dyDescent="0.25">
      <c r="A20" s="43"/>
    </row>
    <row r="21" spans="1:15" s="44" customFormat="1" x14ac:dyDescent="0.25">
      <c r="A21" s="43"/>
    </row>
    <row r="22" spans="1:15" s="44" customFormat="1" x14ac:dyDescent="0.25">
      <c r="A22" s="43"/>
    </row>
    <row r="23" spans="1:15" s="44" customFormat="1" x14ac:dyDescent="0.25">
      <c r="A23" s="43"/>
    </row>
    <row r="24" spans="1:15" s="44" customFormat="1" x14ac:dyDescent="0.25">
      <c r="A24" s="43"/>
    </row>
    <row r="25" spans="1:15" s="44" customFormat="1" x14ac:dyDescent="0.25">
      <c r="A25" s="43"/>
    </row>
    <row r="26" spans="1:15" s="44" customFormat="1" x14ac:dyDescent="0.25">
      <c r="A26" s="43"/>
    </row>
    <row r="27" spans="1:15" s="44" customFormat="1" x14ac:dyDescent="0.25">
      <c r="A27" s="43"/>
    </row>
    <row r="28" spans="1:15" s="44" customFormat="1" x14ac:dyDescent="0.25">
      <c r="A28" s="43"/>
    </row>
    <row r="29" spans="1:15" s="44" customFormat="1" x14ac:dyDescent="0.25">
      <c r="A29" s="43"/>
    </row>
    <row r="30" spans="1:15" s="44" customFormat="1" x14ac:dyDescent="0.25">
      <c r="A30" s="43"/>
    </row>
    <row r="31" spans="1:15" s="44" customFormat="1" x14ac:dyDescent="0.25">
      <c r="A31" s="43"/>
    </row>
    <row r="32" spans="1:15" s="44" customFormat="1" x14ac:dyDescent="0.25">
      <c r="A32" s="43"/>
    </row>
    <row r="33" spans="1:1" s="44" customFormat="1" x14ac:dyDescent="0.25">
      <c r="A33" s="43"/>
    </row>
    <row r="34" spans="1:1" s="44" customFormat="1" x14ac:dyDescent="0.25">
      <c r="A34" s="43"/>
    </row>
    <row r="35" spans="1:1" s="44" customFormat="1" x14ac:dyDescent="0.25">
      <c r="A35" s="43"/>
    </row>
    <row r="36" spans="1:1" s="44" customFormat="1" x14ac:dyDescent="0.25">
      <c r="A36" s="43"/>
    </row>
    <row r="37" spans="1:1" s="44" customFormat="1" x14ac:dyDescent="0.25">
      <c r="A37" s="43"/>
    </row>
    <row r="38" spans="1:1" s="44" customFormat="1" x14ac:dyDescent="0.25">
      <c r="A38" s="43"/>
    </row>
    <row r="39" spans="1:1" s="44" customFormat="1" x14ac:dyDescent="0.25">
      <c r="A39" s="43"/>
    </row>
    <row r="40" spans="1:1" s="44" customFormat="1" x14ac:dyDescent="0.25">
      <c r="A40" s="43"/>
    </row>
    <row r="41" spans="1:1" s="44" customFormat="1" x14ac:dyDescent="0.25">
      <c r="A41" s="43"/>
    </row>
    <row r="42" spans="1:1" s="44" customFormat="1" x14ac:dyDescent="0.25">
      <c r="A42" s="43"/>
    </row>
    <row r="43" spans="1:1" s="44" customFormat="1" x14ac:dyDescent="0.25">
      <c r="A43" s="43"/>
    </row>
    <row r="44" spans="1:1" s="44" customFormat="1" x14ac:dyDescent="0.25">
      <c r="A44" s="43"/>
    </row>
    <row r="45" spans="1:1" s="44" customFormat="1" x14ac:dyDescent="0.25">
      <c r="A45" s="43"/>
    </row>
    <row r="46" spans="1:1" s="44" customFormat="1" x14ac:dyDescent="0.25">
      <c r="A46" s="43"/>
    </row>
    <row r="47" spans="1:1" s="44" customFormat="1" x14ac:dyDescent="0.25">
      <c r="A47" s="43"/>
    </row>
    <row r="48" spans="1:1" s="44" customFormat="1" x14ac:dyDescent="0.25">
      <c r="A48" s="43"/>
    </row>
    <row r="49" spans="1:13" s="44" customFormat="1" x14ac:dyDescent="0.25">
      <c r="A49" s="43"/>
    </row>
    <row r="50" spans="1:13" s="44" customFormat="1" x14ac:dyDescent="0.25">
      <c r="A50" s="43"/>
    </row>
    <row r="51" spans="1:13" s="44" customFormat="1" x14ac:dyDescent="0.25">
      <c r="A51" s="43"/>
    </row>
    <row r="52" spans="1:13" s="44" customFormat="1" x14ac:dyDescent="0.25">
      <c r="A52" s="43"/>
    </row>
    <row r="53" spans="1:13" s="44" customFormat="1" x14ac:dyDescent="0.25">
      <c r="A53" s="43"/>
    </row>
    <row r="54" spans="1:13" s="44" customFormat="1" x14ac:dyDescent="0.25">
      <c r="A54" s="43"/>
    </row>
    <row r="55" spans="1:13" s="44" customFormat="1" x14ac:dyDescent="0.25">
      <c r="A55" s="43"/>
      <c r="M55" s="46"/>
    </row>
    <row r="56" spans="1:13" s="44" customFormat="1" x14ac:dyDescent="0.25">
      <c r="A56" s="43"/>
      <c r="M56" s="46"/>
    </row>
    <row r="57" spans="1:13" s="44" customFormat="1" x14ac:dyDescent="0.25">
      <c r="A57" s="43"/>
      <c r="M57" s="46"/>
    </row>
    <row r="58" spans="1:13" s="44" customFormat="1" x14ac:dyDescent="0.25">
      <c r="A58" s="43"/>
      <c r="M58" s="46"/>
    </row>
    <row r="59" spans="1:13" s="44" customFormat="1" x14ac:dyDescent="0.25">
      <c r="A59" s="43"/>
      <c r="M59" s="46"/>
    </row>
    <row r="60" spans="1:13" s="44" customFormat="1" x14ac:dyDescent="0.25">
      <c r="A60" s="43"/>
      <c r="M60" s="46"/>
    </row>
    <row r="61" spans="1:13" s="44" customFormat="1" x14ac:dyDescent="0.25">
      <c r="A61" s="43"/>
      <c r="M61" s="46"/>
    </row>
    <row r="62" spans="1:13" s="44" customFormat="1" x14ac:dyDescent="0.25">
      <c r="A62" s="43"/>
      <c r="M62" s="46"/>
    </row>
    <row r="63" spans="1:13" s="44" customFormat="1" x14ac:dyDescent="0.25">
      <c r="A63" s="43"/>
      <c r="M63" s="46"/>
    </row>
    <row r="64" spans="1:13" s="44" customFormat="1" x14ac:dyDescent="0.25">
      <c r="A64" s="43"/>
      <c r="M64" s="46"/>
    </row>
    <row r="65" spans="1:13" s="44" customFormat="1" x14ac:dyDescent="0.25">
      <c r="A65" s="43"/>
      <c r="M65" s="46"/>
    </row>
    <row r="66" spans="1:13" s="44" customFormat="1" x14ac:dyDescent="0.25">
      <c r="A66" s="43"/>
      <c r="M66" s="46"/>
    </row>
    <row r="67" spans="1:13" s="44" customFormat="1" x14ac:dyDescent="0.25">
      <c r="A67" s="43"/>
      <c r="M67" s="46"/>
    </row>
    <row r="68" spans="1:13" s="44" customFormat="1" x14ac:dyDescent="0.25">
      <c r="A68" s="43"/>
      <c r="M68" s="46"/>
    </row>
    <row r="69" spans="1:13" s="44" customFormat="1" x14ac:dyDescent="0.25">
      <c r="A69" s="43"/>
      <c r="M69" s="46"/>
    </row>
    <row r="70" spans="1:13" s="44" customFormat="1" x14ac:dyDescent="0.25">
      <c r="A70" s="43"/>
      <c r="M70" s="46"/>
    </row>
    <row r="71" spans="1:13" s="44" customFormat="1" x14ac:dyDescent="0.25">
      <c r="A71" s="43"/>
      <c r="M71" s="46"/>
    </row>
    <row r="72" spans="1:13" s="44" customFormat="1" x14ac:dyDescent="0.25">
      <c r="A72" s="43"/>
      <c r="M72" s="46"/>
    </row>
    <row r="73" spans="1:13" s="44" customFormat="1" x14ac:dyDescent="0.25">
      <c r="A73" s="43"/>
      <c r="M73" s="46"/>
    </row>
    <row r="74" spans="1:13" s="44" customFormat="1" x14ac:dyDescent="0.25">
      <c r="A74" s="43"/>
      <c r="M74" s="46"/>
    </row>
    <row r="75" spans="1:13" s="44" customFormat="1" x14ac:dyDescent="0.25">
      <c r="A75" s="43"/>
      <c r="M75" s="46"/>
    </row>
    <row r="76" spans="1:13" s="44" customFormat="1" x14ac:dyDescent="0.25">
      <c r="A76" s="43"/>
      <c r="M76" s="46"/>
    </row>
    <row r="77" spans="1:13" s="44" customFormat="1" x14ac:dyDescent="0.25">
      <c r="A77" s="43"/>
      <c r="M77" s="46"/>
    </row>
    <row r="78" spans="1:13" s="44" customFormat="1" x14ac:dyDescent="0.25">
      <c r="A78" s="43"/>
      <c r="M78" s="46"/>
    </row>
    <row r="79" spans="1:13" s="44" customFormat="1" x14ac:dyDescent="0.25">
      <c r="A79" s="43"/>
      <c r="M79" s="46"/>
    </row>
    <row r="80" spans="1:13" s="44" customFormat="1" x14ac:dyDescent="0.25">
      <c r="A80" s="43"/>
      <c r="M80" s="46"/>
    </row>
    <row r="81" spans="1:14" s="44" customFormat="1" x14ac:dyDescent="0.25">
      <c r="A81" s="43"/>
      <c r="M81" s="46"/>
    </row>
    <row r="82" spans="1:14" s="44" customFormat="1" x14ac:dyDescent="0.25">
      <c r="A82" s="43"/>
      <c r="M82" s="46"/>
    </row>
    <row r="83" spans="1:14" s="44" customFormat="1" x14ac:dyDescent="0.25">
      <c r="A83" s="43"/>
      <c r="M83" s="46"/>
      <c r="N83" s="46"/>
    </row>
    <row r="84" spans="1:14" s="44" customFormat="1" x14ac:dyDescent="0.25">
      <c r="A84" s="43"/>
      <c r="M84" s="46"/>
      <c r="N84" s="46"/>
    </row>
    <row r="85" spans="1:14" s="44" customFormat="1" x14ac:dyDescent="0.25">
      <c r="A85" s="43"/>
      <c r="M85" s="46"/>
      <c r="N85" s="46"/>
    </row>
    <row r="86" spans="1:14" s="44" customFormat="1" x14ac:dyDescent="0.25">
      <c r="A86" s="43"/>
      <c r="M86" s="46"/>
      <c r="N86" s="46"/>
    </row>
    <row r="87" spans="1:14" s="44" customFormat="1" x14ac:dyDescent="0.25">
      <c r="A87" s="43"/>
      <c r="M87" s="46"/>
      <c r="N87" s="46"/>
    </row>
    <row r="88" spans="1:14" s="44" customFormat="1" x14ac:dyDescent="0.25">
      <c r="A88" s="43"/>
      <c r="M88" s="46"/>
      <c r="N88" s="46"/>
    </row>
    <row r="89" spans="1:14" s="44" customFormat="1" x14ac:dyDescent="0.25">
      <c r="A89" s="43"/>
      <c r="M89" s="46"/>
      <c r="N89" s="46"/>
    </row>
    <row r="90" spans="1:14" s="44" customFormat="1" x14ac:dyDescent="0.25">
      <c r="A90" s="43"/>
      <c r="M90" s="46"/>
      <c r="N90" s="46"/>
    </row>
    <row r="91" spans="1:14" s="44" customFormat="1" x14ac:dyDescent="0.25">
      <c r="A91" s="43"/>
      <c r="M91" s="46"/>
      <c r="N91" s="46"/>
    </row>
    <row r="92" spans="1:14" s="44" customFormat="1" x14ac:dyDescent="0.25">
      <c r="A92" s="43"/>
      <c r="M92" s="46"/>
      <c r="N92" s="46"/>
    </row>
    <row r="93" spans="1:14" s="44" customFormat="1" x14ac:dyDescent="0.25">
      <c r="A93" s="43"/>
      <c r="M93" s="46"/>
      <c r="N93" s="46"/>
    </row>
    <row r="94" spans="1:14" s="44" customFormat="1" x14ac:dyDescent="0.25">
      <c r="A94" s="43"/>
      <c r="M94" s="46"/>
      <c r="N94" s="46"/>
    </row>
    <row r="95" spans="1:14" s="44" customFormat="1" x14ac:dyDescent="0.25">
      <c r="A95" s="43"/>
      <c r="L95" s="46"/>
      <c r="M95" s="46"/>
      <c r="N95" s="46"/>
    </row>
    <row r="96" spans="1:14" s="44" customFormat="1" x14ac:dyDescent="0.25">
      <c r="A96" s="43"/>
      <c r="L96" s="46"/>
      <c r="M96" s="46"/>
      <c r="N96" s="46"/>
    </row>
    <row r="97" spans="1:14" s="44" customFormat="1" x14ac:dyDescent="0.25">
      <c r="A97" s="43"/>
      <c r="L97" s="46"/>
      <c r="M97" s="46"/>
      <c r="N97" s="46"/>
    </row>
    <row r="98" spans="1:14" s="44" customFormat="1" x14ac:dyDescent="0.25">
      <c r="A98" s="43"/>
      <c r="L98" s="46"/>
      <c r="M98" s="46"/>
      <c r="N98" s="46"/>
    </row>
    <row r="99" spans="1:14" s="44" customFormat="1" x14ac:dyDescent="0.25">
      <c r="A99" s="43"/>
      <c r="L99" s="46"/>
      <c r="M99" s="46"/>
      <c r="N99" s="46"/>
    </row>
    <row r="100" spans="1:14" s="44" customFormat="1" x14ac:dyDescent="0.25">
      <c r="A100" s="43"/>
      <c r="L100" s="46"/>
      <c r="M100" s="46"/>
      <c r="N100" s="46"/>
    </row>
    <row r="101" spans="1:14" s="44" customFormat="1" x14ac:dyDescent="0.25">
      <c r="A101" s="43"/>
      <c r="L101" s="46"/>
      <c r="M101" s="46"/>
      <c r="N101" s="46"/>
    </row>
    <row r="102" spans="1:14" s="44" customFormat="1" x14ac:dyDescent="0.25">
      <c r="A102" s="43"/>
      <c r="L102" s="46"/>
      <c r="M102" s="46"/>
      <c r="N102" s="46"/>
    </row>
    <row r="103" spans="1:14" s="44" customFormat="1" x14ac:dyDescent="0.25">
      <c r="A103" s="43"/>
      <c r="L103" s="46"/>
      <c r="M103" s="46"/>
      <c r="N103" s="46"/>
    </row>
    <row r="104" spans="1:14" s="44" customFormat="1" x14ac:dyDescent="0.25">
      <c r="A104" s="43"/>
      <c r="L104" s="46"/>
      <c r="M104" s="46"/>
      <c r="N104" s="46"/>
    </row>
    <row r="105" spans="1:14" s="44" customFormat="1" x14ac:dyDescent="0.25">
      <c r="A105" s="43"/>
      <c r="L105" s="46"/>
      <c r="M105" s="46"/>
      <c r="N105" s="46"/>
    </row>
    <row r="106" spans="1:14" s="44" customFormat="1" x14ac:dyDescent="0.25">
      <c r="A106" s="43"/>
      <c r="L106" s="46"/>
      <c r="M106" s="46"/>
      <c r="N106" s="46"/>
    </row>
    <row r="107" spans="1:14" s="44" customFormat="1" x14ac:dyDescent="0.25">
      <c r="A107" s="43"/>
      <c r="L107" s="46"/>
      <c r="M107" s="46"/>
      <c r="N107" s="46"/>
    </row>
    <row r="108" spans="1:14" s="44" customFormat="1" x14ac:dyDescent="0.25">
      <c r="A108" s="43"/>
      <c r="L108" s="46"/>
      <c r="M108" s="46"/>
      <c r="N108" s="46"/>
    </row>
  </sheetData>
  <mergeCells count="7">
    <mergeCell ref="B16:O16"/>
    <mergeCell ref="B15:O15"/>
    <mergeCell ref="B2:O2"/>
    <mergeCell ref="C4:E4"/>
    <mergeCell ref="F4:M4"/>
    <mergeCell ref="N4:N5"/>
    <mergeCell ref="B4:B5"/>
  </mergeCells>
  <pageMargins left="0.23622047244094491" right="0.23622047244094491" top="0.35433070866141736" bottom="0.39370078740157483" header="0.31496062992125984" footer="0.31496062992125984"/>
  <pageSetup paperSize="9" scale="95" fitToHeight="0" orientation="landscape" r:id="rId1"/>
  <ignoredErrors>
    <ignoredError sqref="F14:H14 J14:L1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zoomScale="80" zoomScaleNormal="80" workbookViewId="0">
      <selection activeCell="E12" sqref="E12"/>
    </sheetView>
  </sheetViews>
  <sheetFormatPr defaultColWidth="16.8984375" defaultRowHeight="17.399999999999999" x14ac:dyDescent="0.3"/>
  <cols>
    <col min="1" max="1" width="11" style="89" customWidth="1"/>
    <col min="2" max="2" width="32.59765625" style="89" bestFit="1" customWidth="1"/>
    <col min="3" max="3" width="28.59765625" style="89" bestFit="1" customWidth="1"/>
    <col min="4" max="4" width="36.19921875" style="89" bestFit="1" customWidth="1"/>
    <col min="5" max="5" width="56" style="89" customWidth="1"/>
    <col min="6" max="6" width="7.3984375" style="89" customWidth="1"/>
    <col min="7" max="7" width="16.8984375" style="88"/>
    <col min="8" max="16384" width="16.8984375" style="89"/>
  </cols>
  <sheetData>
    <row r="1" spans="1:7" s="88" customFormat="1" x14ac:dyDescent="0.3"/>
    <row r="2" spans="1:7" s="93" customFormat="1" ht="18" thickBot="1" x14ac:dyDescent="0.35">
      <c r="A2" s="89"/>
      <c r="B2" s="90" t="s">
        <v>89</v>
      </c>
      <c r="C2" s="90" t="s">
        <v>90</v>
      </c>
      <c r="D2" s="90" t="s">
        <v>91</v>
      </c>
      <c r="E2" s="91"/>
      <c r="F2" s="92"/>
      <c r="G2" s="92"/>
    </row>
    <row r="3" spans="1:7" ht="30" x14ac:dyDescent="0.3">
      <c r="A3" s="64" t="s">
        <v>92</v>
      </c>
      <c r="B3" s="64" t="s">
        <v>93</v>
      </c>
      <c r="C3" s="64" t="s">
        <v>94</v>
      </c>
      <c r="D3" s="64" t="s">
        <v>95</v>
      </c>
      <c r="E3" s="183" t="s">
        <v>50</v>
      </c>
      <c r="F3" s="63"/>
      <c r="G3" s="63"/>
    </row>
    <row r="4" spans="1:7" x14ac:dyDescent="0.3">
      <c r="A4" s="65" t="s">
        <v>96</v>
      </c>
      <c r="B4" s="65" t="s">
        <v>97</v>
      </c>
      <c r="C4" s="65" t="s">
        <v>98</v>
      </c>
      <c r="D4" s="65" t="s">
        <v>99</v>
      </c>
      <c r="E4" s="184"/>
      <c r="F4" s="63"/>
      <c r="G4" s="63"/>
    </row>
    <row r="5" spans="1:7" x14ac:dyDescent="0.3">
      <c r="A5" s="66"/>
      <c r="B5" s="65" t="s">
        <v>100</v>
      </c>
      <c r="C5" s="67" t="s">
        <v>280</v>
      </c>
      <c r="D5" s="67" t="s">
        <v>281</v>
      </c>
      <c r="E5" s="184"/>
      <c r="F5" s="63"/>
      <c r="G5" s="63"/>
    </row>
    <row r="6" spans="1:7" ht="18" thickBot="1" x14ac:dyDescent="0.35">
      <c r="A6" s="68"/>
      <c r="B6" s="68"/>
      <c r="C6" s="69" t="s">
        <v>101</v>
      </c>
      <c r="D6" s="68"/>
      <c r="E6" s="185"/>
      <c r="F6" s="63"/>
      <c r="G6" s="63"/>
    </row>
    <row r="7" spans="1:7" ht="18.600000000000001" thickTop="1" thickBot="1" x14ac:dyDescent="0.35">
      <c r="A7" s="70">
        <v>1</v>
      </c>
      <c r="B7" s="70" t="s">
        <v>102</v>
      </c>
      <c r="C7" s="70" t="s">
        <v>103</v>
      </c>
      <c r="D7" s="70" t="s">
        <v>53</v>
      </c>
      <c r="E7" s="71" t="s">
        <v>104</v>
      </c>
      <c r="F7" s="72"/>
      <c r="G7" s="63" t="s">
        <v>53</v>
      </c>
    </row>
    <row r="8" spans="1:7" ht="18" thickBot="1" x14ac:dyDescent="0.35">
      <c r="A8" s="73">
        <v>2</v>
      </c>
      <c r="B8" s="73" t="s">
        <v>102</v>
      </c>
      <c r="C8" s="73" t="s">
        <v>103</v>
      </c>
      <c r="D8" s="74" t="s">
        <v>52</v>
      </c>
      <c r="E8" s="75" t="s">
        <v>56</v>
      </c>
      <c r="F8" s="76"/>
      <c r="G8" s="63" t="s">
        <v>105</v>
      </c>
    </row>
    <row r="9" spans="1:7" ht="18" thickBot="1" x14ac:dyDescent="0.35">
      <c r="A9" s="77">
        <v>3</v>
      </c>
      <c r="B9" s="77" t="s">
        <v>102</v>
      </c>
      <c r="C9" s="77" t="s">
        <v>282</v>
      </c>
      <c r="D9" s="77" t="s">
        <v>53</v>
      </c>
      <c r="E9" s="78" t="s">
        <v>57</v>
      </c>
      <c r="F9" s="76"/>
      <c r="G9" s="63" t="s">
        <v>105</v>
      </c>
    </row>
    <row r="10" spans="1:7" ht="30.6" thickBot="1" x14ac:dyDescent="0.35">
      <c r="A10" s="79">
        <v>4</v>
      </c>
      <c r="B10" s="79" t="s">
        <v>102</v>
      </c>
      <c r="C10" s="79" t="s">
        <v>282</v>
      </c>
      <c r="D10" s="80" t="s">
        <v>52</v>
      </c>
      <c r="E10" s="81" t="s">
        <v>76</v>
      </c>
      <c r="F10" s="82"/>
      <c r="G10" s="63" t="s">
        <v>106</v>
      </c>
    </row>
    <row r="11" spans="1:7" ht="18" thickBot="1" x14ac:dyDescent="0.35">
      <c r="A11" s="83">
        <v>5</v>
      </c>
      <c r="B11" s="84" t="s">
        <v>52</v>
      </c>
      <c r="C11" s="84" t="s">
        <v>283</v>
      </c>
      <c r="D11" s="83" t="s">
        <v>53</v>
      </c>
      <c r="E11" s="85" t="s">
        <v>54</v>
      </c>
      <c r="F11" s="76"/>
      <c r="G11" s="63" t="s">
        <v>105</v>
      </c>
    </row>
    <row r="12" spans="1:7" ht="30.6" thickBot="1" x14ac:dyDescent="0.35">
      <c r="A12" s="79">
        <v>6</v>
      </c>
      <c r="B12" s="80" t="s">
        <v>52</v>
      </c>
      <c r="C12" s="80" t="s">
        <v>283</v>
      </c>
      <c r="D12" s="80" t="s">
        <v>107</v>
      </c>
      <c r="E12" s="81" t="s">
        <v>77</v>
      </c>
      <c r="F12" s="82"/>
      <c r="G12" s="63" t="s">
        <v>106</v>
      </c>
    </row>
    <row r="13" spans="1:7" ht="30.6" thickBot="1" x14ac:dyDescent="0.35">
      <c r="A13" s="77">
        <v>7</v>
      </c>
      <c r="B13" s="86" t="s">
        <v>52</v>
      </c>
      <c r="C13" s="86" t="s">
        <v>107</v>
      </c>
      <c r="D13" s="77" t="s">
        <v>53</v>
      </c>
      <c r="E13" s="78" t="s">
        <v>78</v>
      </c>
      <c r="F13" s="82"/>
      <c r="G13" s="63" t="s">
        <v>106</v>
      </c>
    </row>
    <row r="14" spans="1:7" x14ac:dyDescent="0.3">
      <c r="A14" s="79">
        <v>8</v>
      </c>
      <c r="B14" s="80" t="s">
        <v>52</v>
      </c>
      <c r="C14" s="80" t="s">
        <v>107</v>
      </c>
      <c r="D14" s="80" t="s">
        <v>52</v>
      </c>
      <c r="E14" s="81" t="s">
        <v>108</v>
      </c>
      <c r="F14" s="87"/>
      <c r="G14" s="63" t="s">
        <v>109</v>
      </c>
    </row>
    <row r="15" spans="1:7" s="88" customFormat="1" x14ac:dyDescent="0.3">
      <c r="A15" s="63"/>
      <c r="B15" s="63"/>
      <c r="C15" s="63"/>
      <c r="D15" s="63"/>
      <c r="E15" s="63"/>
      <c r="F15" s="63"/>
      <c r="G15" s="63"/>
    </row>
    <row r="16" spans="1:7" s="88" customFormat="1" x14ac:dyDescent="0.3"/>
    <row r="17" s="88" customFormat="1" x14ac:dyDescent="0.3"/>
    <row r="18" s="88" customFormat="1" x14ac:dyDescent="0.3"/>
    <row r="19" s="88" customFormat="1" x14ac:dyDescent="0.3"/>
  </sheetData>
  <mergeCells count="1">
    <mergeCell ref="E3:E6"/>
  </mergeCells>
  <pageMargins left="0.23622047244094491" right="0.35433070866141736" top="0.59" bottom="0.19685039370078741" header="0.31496062992125984" footer="0.31496062992125984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Planfin</vt:lpstr>
      <vt:lpstr>สรุป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Inspiron</dc:creator>
  <cp:lastModifiedBy>Pitak Nanthi</cp:lastModifiedBy>
  <cp:lastPrinted>2025-11-13T01:48:19Z</cp:lastPrinted>
  <dcterms:created xsi:type="dcterms:W3CDTF">2019-10-27T04:10:56Z</dcterms:created>
  <dcterms:modified xsi:type="dcterms:W3CDTF">2026-05-19T03:15:22Z</dcterms:modified>
</cp:coreProperties>
</file>